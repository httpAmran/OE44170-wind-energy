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1600" windowHeight="13749" tabRatio="600" firstSheet="0" activeTab="0" autoFilterDateGrouping="1"/>
  </bookViews>
  <sheets>
    <sheet name="WTG Yield Wake" sheetId="1" state="visible" r:id="rId1"/>
    <sheet name="IA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 * #,##0_ ;_ * \-#,##0_ ;_ * &quot;-&quot;??_ ;_ @_ "/>
    <numFmt numFmtId="165" formatCode="0.000"/>
    <numFmt numFmtId="166" formatCode="_ * #,##0.00_ ;_ * \-#,##0.00_ ;_ * &quot;-&quot;??_ ;_ @_ "/>
    <numFmt numFmtId="167" formatCode="0.0"/>
    <numFmt numFmtId="168" formatCode="0.000%"/>
  </numFmts>
  <fonts count="9">
    <font>
      <name val="Arial"/>
      <sz val="10"/>
    </font>
    <font>
      <name val="Arial"/>
      <family val="2"/>
      <b val="1"/>
      <sz val="10"/>
    </font>
    <font>
      <name val="Arial"/>
      <color theme="10"/>
      <sz val="10"/>
      <u val="single"/>
    </font>
    <font>
      <name val="Arial"/>
      <color theme="11"/>
      <sz val="10"/>
      <u val="single"/>
    </font>
    <font>
      <name val="Arial"/>
      <sz val="10"/>
    </font>
    <font>
      <name val="Arial"/>
      <family val="2"/>
      <sz val="10"/>
    </font>
    <font>
      <name val="Aptos"/>
      <family val="2"/>
      <b val="1"/>
      <sz val="10"/>
    </font>
    <font>
      <name val="Aptos"/>
      <family val="2"/>
      <sz val="10"/>
    </font>
    <font>
      <name val="Aptos"/>
      <family val="2"/>
      <i val="1"/>
      <sz val="10"/>
    </font>
  </fonts>
  <fills count="5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5">
    <xf numFmtId="0" fontId="4" fillId="0" borderId="0"/>
    <xf numFmtId="0" fontId="2" fillId="0" borderId="0"/>
    <xf numFmtId="0" fontId="3" fillId="0" borderId="0"/>
    <xf numFmtId="9" fontId="4" fillId="0" borderId="0"/>
    <xf numFmtId="43" fontId="4" fillId="0" borderId="0"/>
  </cellStyleXfs>
  <cellXfs count="15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6" fillId="2" borderId="0" pivotButton="0" quotePrefix="0" xfId="0"/>
    <xf numFmtId="0" fontId="7" fillId="2" borderId="7" pivotButton="0" quotePrefix="0" xfId="0"/>
    <xf numFmtId="0" fontId="7" fillId="2" borderId="16" pivotButton="0" quotePrefix="0" xfId="0"/>
    <xf numFmtId="0" fontId="7" fillId="2" borderId="4" pivotButton="0" quotePrefix="0" xfId="0"/>
    <xf numFmtId="0" fontId="7" fillId="2" borderId="8" pivotButton="0" quotePrefix="0" xfId="0"/>
    <xf numFmtId="0" fontId="7" fillId="2" borderId="9" pivotButton="0" quotePrefix="0" xfId="0"/>
    <xf numFmtId="0" fontId="7" fillId="0" borderId="0" pivotButton="0" quotePrefix="0" xfId="0"/>
    <xf numFmtId="2" fontId="7" fillId="0" borderId="0" pivotButton="0" quotePrefix="0" xfId="0"/>
    <xf numFmtId="0" fontId="6" fillId="2" borderId="0" applyAlignment="1" pivotButton="0" quotePrefix="0" xfId="0">
      <alignment horizontal="right"/>
    </xf>
    <xf numFmtId="0" fontId="7" fillId="0" borderId="0" applyAlignment="1" pivotButton="0" quotePrefix="0" xfId="0">
      <alignment horizontal="left"/>
    </xf>
    <xf numFmtId="1" fontId="7" fillId="0" borderId="0" applyAlignment="1" pivotButton="0" quotePrefix="0" xfId="0">
      <alignment horizontal="right"/>
    </xf>
    <xf numFmtId="164" fontId="6" fillId="0" borderId="0" pivotButton="0" quotePrefix="0" xfId="0"/>
    <xf numFmtId="164" fontId="6" fillId="2" borderId="0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9" fontId="7" fillId="0" borderId="19" applyAlignment="1" pivotButton="0" quotePrefix="0" xfId="21">
      <alignment horizontal="center"/>
    </xf>
    <xf numFmtId="0" fontId="7" fillId="0" borderId="0" applyAlignment="1" pivotButton="0" quotePrefix="0" xfId="0">
      <alignment vertical="center"/>
    </xf>
    <xf numFmtId="0" fontId="6" fillId="2" borderId="0" applyAlignment="1" pivotButton="0" quotePrefix="0" xfId="0">
      <alignment vertical="center" wrapText="1"/>
    </xf>
    <xf numFmtId="0" fontId="7" fillId="2" borderId="3" pivotButton="0" quotePrefix="0" xfId="0"/>
    <xf numFmtId="0" fontId="7" fillId="2" borderId="15" pivotButton="0" quotePrefix="0" xfId="0"/>
    <xf numFmtId="0" fontId="7" fillId="2" borderId="13" applyAlignment="1" pivotButton="0" quotePrefix="0" xfId="0">
      <alignment horizontal="center"/>
    </xf>
    <xf numFmtId="0" fontId="7" fillId="2" borderId="17" applyAlignment="1" pivotButton="0" quotePrefix="0" xfId="0">
      <alignment horizontal="center"/>
    </xf>
    <xf numFmtId="0" fontId="7" fillId="2" borderId="14" applyAlignment="1" pivotButton="0" quotePrefix="0" xfId="0">
      <alignment horizontal="center"/>
    </xf>
    <xf numFmtId="0" fontId="7" fillId="2" borderId="5" pivotButton="0" quotePrefix="0" xfId="0"/>
    <xf numFmtId="0" fontId="6" fillId="2" borderId="15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7" fillId="2" borderId="18" applyAlignment="1" pivotButton="0" quotePrefix="0" xfId="0">
      <alignment horizontal="center"/>
    </xf>
    <xf numFmtId="0" fontId="7" fillId="2" borderId="4" applyAlignment="1" pivotButton="0" quotePrefix="0" xfId="0">
      <alignment horizontal="center"/>
    </xf>
    <xf numFmtId="164" fontId="7" fillId="2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7" fillId="2" borderId="2" applyAlignment="1" pivotButton="0" quotePrefix="0" xfId="0">
      <alignment horizontal="right"/>
    </xf>
    <xf numFmtId="1" fontId="7" fillId="2" borderId="4" applyAlignment="1" pivotButton="0" quotePrefix="0" xfId="0">
      <alignment horizontal="right"/>
    </xf>
    <xf numFmtId="0" fontId="7" fillId="2" borderId="4" applyAlignment="1" pivotButton="0" quotePrefix="0" xfId="0">
      <alignment horizontal="right"/>
    </xf>
    <xf numFmtId="0" fontId="7" fillId="2" borderId="6" applyAlignment="1" pivotButton="0" quotePrefix="0" xfId="0">
      <alignment horizontal="right"/>
    </xf>
    <xf numFmtId="0" fontId="7" fillId="2" borderId="1" applyAlignment="1" pivotButton="0" quotePrefix="0" xfId="0">
      <alignment vertical="center"/>
    </xf>
    <xf numFmtId="0" fontId="7" fillId="2" borderId="2" applyAlignment="1" pivotButton="0" quotePrefix="0" xfId="0">
      <alignment vertical="center"/>
    </xf>
    <xf numFmtId="0" fontId="7" fillId="2" borderId="7" applyAlignment="1" pivotButton="0" quotePrefix="0" xfId="0">
      <alignment vertical="center"/>
    </xf>
    <xf numFmtId="0" fontId="7" fillId="2" borderId="10" applyAlignment="1" pivotButton="0" quotePrefix="0" xfId="0">
      <alignment vertical="center"/>
    </xf>
    <xf numFmtId="0" fontId="7" fillId="2" borderId="11" pivotButton="0" quotePrefix="0" xfId="0"/>
    <xf numFmtId="165" fontId="7" fillId="2" borderId="4" pivotButton="0" quotePrefix="0" xfId="0"/>
    <xf numFmtId="165" fontId="7" fillId="2" borderId="8" pivotButton="0" quotePrefix="0" xfId="0"/>
    <xf numFmtId="165" fontId="7" fillId="2" borderId="11" pivotButton="0" quotePrefix="0" xfId="0"/>
    <xf numFmtId="165" fontId="7" fillId="2" borderId="6" pivotButton="0" quotePrefix="0" xfId="0"/>
    <xf numFmtId="165" fontId="7" fillId="2" borderId="9" pivotButton="0" quotePrefix="0" xfId="0"/>
    <xf numFmtId="165" fontId="7" fillId="2" borderId="12" pivotButton="0" quotePrefix="0" xfId="0"/>
    <xf numFmtId="166" fontId="7" fillId="2" borderId="4" pivotButton="0" quotePrefix="0" xfId="42"/>
    <xf numFmtId="164" fontId="7" fillId="2" borderId="4" pivotButton="0" quotePrefix="0" xfId="42"/>
    <xf numFmtId="164" fontId="7" fillId="2" borderId="8" pivotButton="0" quotePrefix="0" xfId="42"/>
    <xf numFmtId="9" fontId="0" fillId="2" borderId="8" applyAlignment="1" pivotButton="0" quotePrefix="0" xfId="21">
      <alignment horizontal="center"/>
    </xf>
    <xf numFmtId="166" fontId="7" fillId="2" borderId="6" pivotButton="0" quotePrefix="0" xfId="42"/>
    <xf numFmtId="164" fontId="7" fillId="2" borderId="6" pivotButton="0" quotePrefix="0" xfId="42"/>
    <xf numFmtId="9" fontId="0" fillId="2" borderId="9" applyAlignment="1" pivotButton="0" quotePrefix="0" xfId="21">
      <alignment horizontal="center"/>
    </xf>
    <xf numFmtId="0" fontId="6" fillId="0" borderId="0" applyAlignment="1" pivotButton="0" quotePrefix="0" xfId="0">
      <alignment horizontal="right"/>
    </xf>
    <xf numFmtId="167" fontId="7" fillId="2" borderId="14" applyAlignment="1" pivotButton="0" quotePrefix="0" xfId="0">
      <alignment horizontal="center"/>
    </xf>
    <xf numFmtId="166" fontId="7" fillId="2" borderId="14" pivotButton="0" quotePrefix="0" xfId="42"/>
    <xf numFmtId="167" fontId="7" fillId="2" borderId="14" pivotButton="0" quotePrefix="0" xfId="0"/>
    <xf numFmtId="167" fontId="7" fillId="2" borderId="20" pivotButton="0" quotePrefix="0" xfId="0"/>
    <xf numFmtId="0" fontId="7" fillId="2" borderId="21" applyAlignment="1" pivotButton="0" quotePrefix="0" xfId="0">
      <alignment horizontal="center"/>
    </xf>
    <xf numFmtId="167" fontId="7" fillId="2" borderId="21" applyAlignment="1" pivotButton="0" quotePrefix="0" xfId="0">
      <alignment horizontal="center"/>
    </xf>
    <xf numFmtId="0" fontId="6" fillId="2" borderId="10" pivotButton="0" quotePrefix="0" xfId="0"/>
    <xf numFmtId="167" fontId="7" fillId="4" borderId="11" pivotButton="0" quotePrefix="0" xfId="0"/>
    <xf numFmtId="167" fontId="7" fillId="4" borderId="12" pivotButton="0" quotePrefix="0" xfId="0"/>
    <xf numFmtId="0" fontId="7" fillId="2" borderId="23" applyAlignment="1" pivotButton="0" quotePrefix="0" xfId="0">
      <alignment horizontal="center"/>
    </xf>
    <xf numFmtId="1" fontId="7" fillId="4" borderId="7" applyAlignment="1" pivotButton="0" quotePrefix="0" xfId="0">
      <alignment horizontal="center"/>
    </xf>
    <xf numFmtId="165" fontId="7" fillId="4" borderId="24" applyAlignment="1" pivotButton="0" quotePrefix="0" xfId="0">
      <alignment horizontal="center"/>
    </xf>
    <xf numFmtId="165" fontId="7" fillId="4" borderId="25" applyAlignment="1" pivotButton="0" quotePrefix="0" xfId="0">
      <alignment horizontal="center"/>
    </xf>
    <xf numFmtId="0" fontId="6" fillId="2" borderId="22" applyAlignment="1" pivotButton="0" quotePrefix="0" xfId="0">
      <alignment horizontal="center"/>
    </xf>
    <xf numFmtId="0" fontId="7" fillId="2" borderId="18" pivotButton="0" quotePrefix="0" xfId="0"/>
    <xf numFmtId="0" fontId="6" fillId="2" borderId="2" applyAlignment="1" pivotButton="0" quotePrefix="0" xfId="0">
      <alignment horizontal="center"/>
    </xf>
    <xf numFmtId="1" fontId="7" fillId="4" borderId="2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167" fontId="7" fillId="2" borderId="27" applyAlignment="1" pivotButton="0" quotePrefix="0" xfId="0">
      <alignment horizontal="center"/>
    </xf>
    <xf numFmtId="167" fontId="7" fillId="2" borderId="20" applyAlignment="1" pivotButton="0" quotePrefix="0" xfId="0">
      <alignment horizontal="center"/>
    </xf>
    <xf numFmtId="0" fontId="7" fillId="3" borderId="0" pivotButton="0" quotePrefix="0" xfId="0"/>
    <xf numFmtId="0" fontId="7" fillId="2" borderId="0" pivotButton="0" quotePrefix="0" xfId="0"/>
    <xf numFmtId="0" fontId="6" fillId="2" borderId="0" applyAlignment="1" pivotButton="0" quotePrefix="0" xfId="0">
      <alignment horizontal="center"/>
    </xf>
    <xf numFmtId="1" fontId="6" fillId="2" borderId="0" pivotButton="0" quotePrefix="0" xfId="0"/>
    <xf numFmtId="164" fontId="6" fillId="2" borderId="0" applyAlignment="1" pivotButton="0" quotePrefix="0" xfId="0">
      <alignment horizontal="center"/>
    </xf>
    <xf numFmtId="0" fontId="8" fillId="0" borderId="0" pivotButton="0" quotePrefix="0" xfId="0"/>
    <xf numFmtId="0" fontId="7" fillId="2" borderId="1" applyAlignment="1" pivotButton="0" quotePrefix="0" xfId="0">
      <alignment vertical="center" wrapText="1"/>
    </xf>
    <xf numFmtId="1" fontId="7" fillId="4" borderId="17" applyAlignment="1" pivotButton="0" quotePrefix="0" xfId="0">
      <alignment horizontal="center"/>
    </xf>
    <xf numFmtId="1" fontId="7" fillId="4" borderId="16" applyAlignment="1" pivotButton="0" quotePrefix="0" xfId="0">
      <alignment horizontal="center"/>
    </xf>
    <xf numFmtId="1" fontId="6" fillId="4" borderId="10" pivotButton="0" quotePrefix="0" xfId="0"/>
    <xf numFmtId="10" fontId="6" fillId="4" borderId="12" pivotButton="0" quotePrefix="0" xfId="21"/>
    <xf numFmtId="0" fontId="6" fillId="2" borderId="14" applyAlignment="1" pivotButton="0" quotePrefix="0" xfId="0">
      <alignment horizontal="center"/>
    </xf>
    <xf numFmtId="1" fontId="7" fillId="4" borderId="1" applyAlignment="1" pivotButton="0" quotePrefix="0" xfId="0">
      <alignment horizontal="center"/>
    </xf>
    <xf numFmtId="1" fontId="7" fillId="4" borderId="28" applyAlignment="1" pivotButton="0" quotePrefix="0" xfId="0">
      <alignment horizontal="center"/>
    </xf>
    <xf numFmtId="165" fontId="7" fillId="4" borderId="29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26" pivotButton="0" quotePrefix="0" xfId="0"/>
    <xf numFmtId="0" fontId="7" fillId="2" borderId="6" pivotButton="0" quotePrefix="0" xfId="0"/>
    <xf numFmtId="0" fontId="7" fillId="2" borderId="24" applyAlignment="1" pivotButton="0" quotePrefix="0" xfId="0">
      <alignment horizontal="center"/>
    </xf>
    <xf numFmtId="0" fontId="7" fillId="2" borderId="30" applyAlignment="1" pivotButton="0" quotePrefix="0" xfId="0">
      <alignment horizontal="center"/>
    </xf>
    <xf numFmtId="0" fontId="7" fillId="2" borderId="25" pivotButton="0" quotePrefix="0" xfId="0"/>
    <xf numFmtId="0" fontId="6" fillId="2" borderId="17" pivotButton="0" quotePrefix="0" xfId="0"/>
    <xf numFmtId="0" fontId="6" fillId="2" borderId="15" applyAlignment="1" pivotButton="0" quotePrefix="0" xfId="0">
      <alignment horizontal="right"/>
    </xf>
    <xf numFmtId="0" fontId="6" fillId="2" borderId="3" applyAlignment="1" pivotButton="0" quotePrefix="0" xfId="0">
      <alignment horizontal="right"/>
    </xf>
    <xf numFmtId="0" fontId="6" fillId="2" borderId="14" pivotButton="0" quotePrefix="0" xfId="0"/>
    <xf numFmtId="0" fontId="6" fillId="2" borderId="17" applyAlignment="1" pivotButton="0" quotePrefix="0" xfId="0">
      <alignment horizontal="center"/>
    </xf>
    <xf numFmtId="0" fontId="6" fillId="2" borderId="13" applyAlignment="1" pivotButton="0" quotePrefix="0" xfId="0">
      <alignment horizontal="right"/>
    </xf>
    <xf numFmtId="0" fontId="6" fillId="2" borderId="2" applyAlignment="1" pivotButton="0" quotePrefix="0" xfId="0">
      <alignment horizontal="right"/>
    </xf>
    <xf numFmtId="0" fontId="6" fillId="2" borderId="7" applyAlignment="1" pivotButton="0" quotePrefix="0" xfId="0">
      <alignment horizontal="right"/>
    </xf>
    <xf numFmtId="0" fontId="6" fillId="2" borderId="17" applyAlignment="1" pivotButton="0" quotePrefix="0" xfId="0">
      <alignment horizontal="right"/>
    </xf>
    <xf numFmtId="0" fontId="6" fillId="2" borderId="18" applyAlignment="1" pivotButton="0" quotePrefix="0" xfId="0">
      <alignment horizontal="right"/>
    </xf>
    <xf numFmtId="0" fontId="6" fillId="2" borderId="16" applyAlignment="1" pivotButton="0" quotePrefix="0" xfId="0">
      <alignment horizontal="right"/>
    </xf>
    <xf numFmtId="1" fontId="7" fillId="2" borderId="8" pivotButton="0" quotePrefix="0" xfId="0"/>
    <xf numFmtId="1" fontId="7" fillId="2" borderId="9" pivotButton="0" quotePrefix="0" xfId="0"/>
    <xf numFmtId="0" fontId="5" fillId="0" borderId="0" pivotButton="0" quotePrefix="0" xfId="0"/>
    <xf numFmtId="1" fontId="7" fillId="2" borderId="4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167" fontId="7" fillId="2" borderId="13" applyAlignment="1" pivotButton="0" quotePrefix="0" xfId="0">
      <alignment horizontal="center"/>
    </xf>
    <xf numFmtId="0" fontId="6" fillId="2" borderId="5" applyAlignment="1" pivotButton="0" quotePrefix="0" xfId="0">
      <alignment horizontal="center"/>
    </xf>
    <xf numFmtId="0" fontId="6" fillId="2" borderId="20" applyAlignment="1" pivotButton="0" quotePrefix="0" xfId="0">
      <alignment horizontal="center"/>
    </xf>
    <xf numFmtId="0" fontId="7" fillId="2" borderId="31" applyAlignment="1" pivotButton="0" quotePrefix="0" xfId="0">
      <alignment horizontal="center"/>
    </xf>
    <xf numFmtId="0" fontId="7" fillId="2" borderId="3" applyAlignment="1" pivotButton="0" quotePrefix="0" xfId="0">
      <alignment horizontal="left"/>
    </xf>
    <xf numFmtId="0" fontId="7" fillId="2" borderId="4" applyAlignment="1" pivotButton="0" quotePrefix="0" xfId="0">
      <alignment horizontal="left"/>
    </xf>
    <xf numFmtId="0" fontId="7" fillId="2" borderId="1" applyAlignment="1" pivotButton="0" quotePrefix="0" xfId="0">
      <alignment horizontal="left"/>
    </xf>
    <xf numFmtId="0" fontId="7" fillId="2" borderId="2" applyAlignment="1" pivotButton="0" quotePrefix="0" xfId="0">
      <alignment horizontal="left"/>
    </xf>
    <xf numFmtId="0" fontId="7" fillId="2" borderId="5" applyAlignment="1" pivotButton="0" quotePrefix="0" xfId="0">
      <alignment horizontal="left"/>
    </xf>
    <xf numFmtId="0" fontId="7" fillId="2" borderId="6" applyAlignment="1" pivotButton="0" quotePrefix="0" xfId="0">
      <alignment horizontal="left"/>
    </xf>
    <xf numFmtId="0" fontId="0" fillId="0" borderId="37" pivotButton="0" quotePrefix="0" xfId="0"/>
    <xf numFmtId="0" fontId="0" fillId="0" borderId="34" pivotButton="0" quotePrefix="0" xfId="0"/>
    <xf numFmtId="0" fontId="0" fillId="0" borderId="38" pivotButton="0" quotePrefix="0" xfId="0"/>
    <xf numFmtId="165" fontId="7" fillId="2" borderId="4" pivotButton="0" quotePrefix="0" xfId="0"/>
    <xf numFmtId="165" fontId="7" fillId="2" borderId="8" pivotButton="0" quotePrefix="0" xfId="0"/>
    <xf numFmtId="165" fontId="7" fillId="2" borderId="11" pivotButton="0" quotePrefix="0" xfId="0"/>
    <xf numFmtId="166" fontId="7" fillId="2" borderId="4" pivotButton="0" quotePrefix="0" xfId="42"/>
    <xf numFmtId="164" fontId="7" fillId="2" borderId="4" pivotButton="0" quotePrefix="0" xfId="42"/>
    <xf numFmtId="164" fontId="7" fillId="2" borderId="8" pivotButton="0" quotePrefix="0" xfId="42"/>
    <xf numFmtId="164" fontId="6" fillId="2" borderId="0" applyAlignment="1" pivotButton="0" quotePrefix="0" xfId="0">
      <alignment horizontal="right"/>
    </xf>
    <xf numFmtId="165" fontId="7" fillId="2" borderId="6" pivotButton="0" quotePrefix="0" xfId="0"/>
    <xf numFmtId="165" fontId="7" fillId="2" borderId="9" pivotButton="0" quotePrefix="0" xfId="0"/>
    <xf numFmtId="165" fontId="7" fillId="2" borderId="12" pivotButton="0" quotePrefix="0" xfId="0"/>
    <xf numFmtId="166" fontId="7" fillId="2" borderId="6" pivotButton="0" quotePrefix="0" xfId="42"/>
    <xf numFmtId="164" fontId="7" fillId="2" borderId="6" pivotButton="0" quotePrefix="0" xfId="42"/>
    <xf numFmtId="164" fontId="6" fillId="0" borderId="0" pivotButton="0" quotePrefix="0" xfId="0"/>
    <xf numFmtId="167" fontId="7" fillId="2" borderId="13" applyAlignment="1" pivotButton="0" quotePrefix="0" xfId="0">
      <alignment horizontal="center"/>
    </xf>
    <xf numFmtId="165" fontId="7" fillId="4" borderId="29" applyAlignment="1" pivotButton="0" quotePrefix="0" xfId="0">
      <alignment horizontal="center"/>
    </xf>
    <xf numFmtId="165" fontId="7" fillId="4" borderId="24" applyAlignment="1" pivotButton="0" quotePrefix="0" xfId="0">
      <alignment horizontal="center"/>
    </xf>
    <xf numFmtId="165" fontId="7" fillId="4" borderId="25" applyAlignment="1" pivotButton="0" quotePrefix="0" xfId="0">
      <alignment horizontal="center"/>
    </xf>
    <xf numFmtId="167" fontId="7" fillId="2" borderId="14" pivotButton="0" quotePrefix="0" xfId="0"/>
    <xf numFmtId="167" fontId="7" fillId="4" borderId="11" pivotButton="0" quotePrefix="0" xfId="0"/>
    <xf numFmtId="167" fontId="7" fillId="2" borderId="21" applyAlignment="1" pivotButton="0" quotePrefix="0" xfId="0">
      <alignment horizontal="center"/>
    </xf>
    <xf numFmtId="167" fontId="7" fillId="2" borderId="14" applyAlignment="1" pivotButton="0" quotePrefix="0" xfId="0">
      <alignment horizontal="center"/>
    </xf>
    <xf numFmtId="166" fontId="7" fillId="2" borderId="14" pivotButton="0" quotePrefix="0" xfId="42"/>
    <xf numFmtId="164" fontId="7" fillId="2" borderId="4" applyAlignment="1" pivotButton="0" quotePrefix="0" xfId="0">
      <alignment horizontal="center"/>
    </xf>
    <xf numFmtId="167" fontId="7" fillId="2" borderId="20" pivotButton="0" quotePrefix="0" xfId="0"/>
    <xf numFmtId="167" fontId="7" fillId="4" borderId="12" pivotButton="0" quotePrefix="0" xfId="0"/>
    <xf numFmtId="167" fontId="7" fillId="2" borderId="27" applyAlignment="1" pivotButton="0" quotePrefix="0" xfId="0">
      <alignment horizontal="center"/>
    </xf>
    <xf numFmtId="167" fontId="7" fillId="2" borderId="20" applyAlignment="1" pivotButton="0" quotePrefix="0" xfId="0">
      <alignment horizontal="center"/>
    </xf>
    <xf numFmtId="164" fontId="6" fillId="2" borderId="0" applyAlignment="1" pivotButton="0" quotePrefix="0" xfId="0">
      <alignment horizontal="center"/>
    </xf>
    <xf numFmtId="168" fontId="6" fillId="4" borderId="12" pivotButton="0" quotePrefix="0" xfId="21"/>
  </cellXfs>
  <cellStyles count="5">
    <cellStyle name="Normal" xfId="0" builtinId="0"/>
    <cellStyle name="Hyperlink" xfId="1" builtinId="8" hidden="1"/>
    <cellStyle name="Followed Hyperlink" xfId="2" builtinId="9" hidden="1"/>
    <cellStyle name="Percent" xfId="3" builtinId="5"/>
    <cellStyle name="Comma" xfId="4" builtinId="3"/>
  </cellStyles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200"/>
            </a:pPr>
            <a:r>
              <a:rPr lang="en-NL" sz="1200"/>
              <a:t>Wind</a:t>
            </a:r>
            <a:r>
              <a:rPr lang="en-NL" sz="1200" baseline="0"/>
              <a:t xml:space="preserve"> tu</a:t>
            </a:r>
            <a:r>
              <a:rPr lang="en-US" sz="1200"/>
              <a:t>rbine power</a:t>
            </a:r>
          </a:p>
        </rich>
      </tx>
      <overlay val="0"/>
    </title>
    <plotArea>
      <layout/>
      <scatterChart>
        <scatterStyle val="lineMarker"/>
        <varyColors val="0"/>
        <ser>
          <idx val="1"/>
          <order val="0"/>
          <tx>
            <strRef>
              <f>'WTG Yield Wake'!$D$13</f>
              <strCache>
                <ptCount val="1"/>
                <pt idx="0">
                  <v>(MW)</v>
                </pt>
              </strCache>
            </strRef>
          </tx>
          <spPr>
            <a:ln w="254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'WTG Yield Wake'!$B$14:$B$42</f>
              <numCache>
                <formatCode>General</formatCode>
                <ptCount val="29"/>
                <pt idx="0">
                  <v>0.5</v>
                </pt>
                <pt idx="1">
                  <v>1.5</v>
                </pt>
                <pt idx="2">
                  <v>2.5</v>
                </pt>
                <pt idx="3">
                  <v>3.5</v>
                </pt>
                <pt idx="4">
                  <v>4.5</v>
                </pt>
                <pt idx="5">
                  <v>5.5</v>
                </pt>
                <pt idx="6">
                  <v>6.5</v>
                </pt>
                <pt idx="7">
                  <v>7.5</v>
                </pt>
                <pt idx="8">
                  <v>8.5</v>
                </pt>
                <pt idx="9">
                  <v>9.5</v>
                </pt>
                <pt idx="10">
                  <v>10.5</v>
                </pt>
                <pt idx="11">
                  <v>11.5</v>
                </pt>
                <pt idx="12">
                  <v>12.5</v>
                </pt>
                <pt idx="13">
                  <v>13.5</v>
                </pt>
                <pt idx="14">
                  <v>14.5</v>
                </pt>
                <pt idx="15">
                  <v>15.5</v>
                </pt>
                <pt idx="16">
                  <v>16.5</v>
                </pt>
                <pt idx="17">
                  <v>17.5</v>
                </pt>
                <pt idx="18">
                  <v>18.5</v>
                </pt>
                <pt idx="19">
                  <v>19.5</v>
                </pt>
                <pt idx="20">
                  <v>20.5</v>
                </pt>
                <pt idx="21">
                  <v>21.5</v>
                </pt>
                <pt idx="22">
                  <v>22.5</v>
                </pt>
                <pt idx="23">
                  <v>23.5</v>
                </pt>
                <pt idx="24">
                  <v>24.5</v>
                </pt>
                <pt idx="25">
                  <v>25.5</v>
                </pt>
                <pt idx="26">
                  <v>26.5</v>
                </pt>
                <pt idx="27">
                  <v>27.5</v>
                </pt>
                <pt idx="28">
                  <v>28.5</v>
                </pt>
              </numCache>
            </numRef>
          </xVal>
          <yVal>
            <numRef>
              <f>'WTG Yield Wake'!$D$14:$D$42</f>
              <numCache>
                <formatCode>0.000</formatCode>
                <ptCount val="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0.437</v>
                </pt>
                <pt idx="4">
                  <v>1.423</v>
                </pt>
                <pt idx="5">
                  <v>2.83</v>
                </pt>
                <pt idx="6">
                  <v>4.772</v>
                </pt>
                <pt idx="7">
                  <v>7.46</v>
                </pt>
                <pt idx="8">
                  <v>10.949</v>
                </pt>
                <pt idx="9">
                  <v>14.623</v>
                </pt>
                <pt idx="10">
                  <v>17.73</v>
                </pt>
                <pt idx="11">
                  <v>19.442</v>
                </pt>
                <pt idx="12">
                  <v>19.921</v>
                </pt>
                <pt idx="13">
                  <v>19.991</v>
                </pt>
                <pt idx="14">
                  <v>20</v>
                </pt>
                <pt idx="15">
                  <v>20</v>
                </pt>
                <pt idx="16">
                  <v>20</v>
                </pt>
                <pt idx="17">
                  <v>20</v>
                </pt>
                <pt idx="18">
                  <v>20</v>
                </pt>
                <pt idx="19">
                  <v>20</v>
                </pt>
                <pt idx="20">
                  <v>20</v>
                </pt>
                <pt idx="21">
                  <v>20</v>
                </pt>
                <pt idx="22">
                  <v>20</v>
                </pt>
                <pt idx="23">
                  <v>18.4</v>
                </pt>
                <pt idx="24">
                  <v>15.2</v>
                </pt>
                <pt idx="25">
                  <v>12</v>
                </pt>
                <pt idx="26">
                  <v>8.799999999999999</v>
                </pt>
                <pt idx="27">
                  <v>5.6</v>
                </pt>
                <pt idx="28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351797816"/>
        <axId val="351794680"/>
      </scatterChart>
      <valAx>
        <axId val="351797816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rich>
          </tx>
          <overlay val="0"/>
        </title>
        <numFmt formatCode="General" sourceLinked="1"/>
        <majorTickMark val="in"/>
        <minorTickMark val="none"/>
        <tickLblPos val="nextTo"/>
        <spPr>
          <a:ln w="12700">
            <a:solidFill>
              <a:schemeClr val="tx1"/>
            </a:solidFill>
            <a:prstDash val="solid"/>
          </a:ln>
        </spPr>
        <txPr>
          <a:bodyPr/>
          <a:lstStyle/>
          <a:p>
            <a:pPr>
              <a:defRPr sz="1200"/>
            </a:pPr>
            <a:r>
              <a:t/>
            </a:r>
            <a:endParaRPr lang="en-NL"/>
          </a:p>
        </txPr>
        <crossAx val="351794680"/>
        <crosses val="autoZero"/>
        <crossBetween val="midCat"/>
      </valAx>
      <valAx>
        <axId val="351794680"/>
        <scaling>
          <orientation val="minMax"/>
          <max val="20"/>
        </scaling>
        <delete val="0"/>
        <axPos val="l"/>
        <majorGridlines>
          <spPr>
            <a:ln w="3175" cmpd="sng">
              <a:solidFill>
                <a:schemeClr val="tx1"/>
              </a:solidFill>
              <a:prstDash val="dash"/>
            </a:ln>
          </spPr>
        </majorGridlines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Turbine power (MW)</a:t>
                </a:r>
              </a:p>
            </rich>
          </tx>
          <overlay val="0"/>
        </title>
        <numFmt formatCode="0.000" sourceLinked="1"/>
        <majorTickMark val="in"/>
        <minorTickMark val="none"/>
        <tickLblPos val="nextTo"/>
        <spPr>
          <a:noFill/>
          <a:ln w="12700">
            <a:solidFill>
              <a:schemeClr val="tx1"/>
            </a:solidFill>
            <a:prstDash val="solid"/>
          </a:ln>
        </spPr>
        <txPr>
          <a:bodyPr/>
          <a:lstStyle/>
          <a:p>
            <a:pPr>
              <a:defRPr sz="1200"/>
            </a:pPr>
            <a:r>
              <a:t/>
            </a:r>
            <a:endParaRPr lang="en-NL"/>
          </a:p>
        </txPr>
        <crossAx val="351797816"/>
        <crosses val="autoZero"/>
        <crossBetween val="midCat"/>
      </valAx>
    </plotArea>
    <plotVisOnly val="1"/>
    <dispBlanksAs val="gap"/>
  </chart>
  <spPr>
    <a:solidFill>
      <a:schemeClr val="bg1"/>
    </a:solidFill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400"/>
            </a:pPr>
            <a:r>
              <a:rPr lang="en-US" sz="1200"/>
              <a:t>C</a:t>
            </a:r>
            <a:r>
              <a:rPr lang="en-US" sz="1050"/>
              <a:t>p</a:t>
            </a:r>
            <a:r>
              <a:rPr lang="en-US" sz="1200" baseline="0"/>
              <a:t xml:space="preserve"> vs. wind speed</a:t>
            </a:r>
            <a:endParaRPr lang="en-US" sz="1200"/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'WTG Yield Wake'!$E$13</f>
              <strCache>
                <ptCount val="1"/>
              </strCache>
            </strRef>
          </tx>
          <spPr>
            <a:ln w="254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'WTG Yield Wake'!$B$17:$B$41</f>
              <numCache>
                <formatCode>General</formatCode>
                <ptCount val="25"/>
                <pt idx="0">
                  <v>3.5</v>
                </pt>
                <pt idx="1">
                  <v>4.5</v>
                </pt>
                <pt idx="2">
                  <v>5.5</v>
                </pt>
                <pt idx="3">
                  <v>6.5</v>
                </pt>
                <pt idx="4">
                  <v>7.5</v>
                </pt>
                <pt idx="5">
                  <v>8.5</v>
                </pt>
                <pt idx="6">
                  <v>9.5</v>
                </pt>
                <pt idx="7">
                  <v>10.5</v>
                </pt>
                <pt idx="8">
                  <v>11.5</v>
                </pt>
                <pt idx="9">
                  <v>12.5</v>
                </pt>
                <pt idx="10">
                  <v>13.5</v>
                </pt>
                <pt idx="11">
                  <v>14.5</v>
                </pt>
                <pt idx="12">
                  <v>15.5</v>
                </pt>
                <pt idx="13">
                  <v>16.5</v>
                </pt>
                <pt idx="14">
                  <v>17.5</v>
                </pt>
                <pt idx="15">
                  <v>18.5</v>
                </pt>
                <pt idx="16">
                  <v>19.5</v>
                </pt>
                <pt idx="17">
                  <v>20.5</v>
                </pt>
                <pt idx="18">
                  <v>21.5</v>
                </pt>
                <pt idx="19">
                  <v>22.5</v>
                </pt>
                <pt idx="20">
                  <v>23.5</v>
                </pt>
                <pt idx="21">
                  <v>24.5</v>
                </pt>
                <pt idx="22">
                  <v>25.5</v>
                </pt>
                <pt idx="23">
                  <v>26.5</v>
                </pt>
                <pt idx="24">
                  <v>27.5</v>
                </pt>
              </numCache>
            </numRef>
          </xVal>
          <yVal>
            <numRef>
              <f>'WTG Yield Wake'!$E$17:$E$41</f>
              <numCache>
                <formatCode>0.000</formatCode>
                <ptCount val="25"/>
                <pt idx="0">
                  <v>0.2704705210797955</v>
                </pt>
                <pt idx="1">
                  <v>0.4143906927558716</v>
                </pt>
                <pt idx="2">
                  <v>0.4513786370546855</v>
                </pt>
                <pt idx="3">
                  <v>0.4611083628927369</v>
                </pt>
                <pt idx="4">
                  <v>0.4692428578208723</v>
                </pt>
                <pt idx="5">
                  <v>0.4731080224784567</v>
                </pt>
                <pt idx="6">
                  <v>0.4525934848513514</v>
                </pt>
                <pt idx="7">
                  <v>0.4064278615768094</v>
                </pt>
                <pt idx="8">
                  <v>0.3392267187242701</v>
                </pt>
                <pt idx="9">
                  <v>0.2706597836005781</v>
                </pt>
                <pt idx="10">
                  <v>0.2156134493866018</v>
                </pt>
                <pt idx="11">
                  <v>0.1740879145452054</v>
                </pt>
                <pt idx="12">
                  <v>0.1425205648633149</v>
                </pt>
                <pt idx="13">
                  <v>0.1181464826736515</v>
                </pt>
                <pt idx="14">
                  <v>0.09902810840450177</v>
                </pt>
                <pt idx="15">
                  <v>0.08382188908540487</v>
                </pt>
                <pt idx="16">
                  <v>0.07157622596205286</v>
                </pt>
                <pt idx="17">
                  <v>0.06160430272113019</v>
                </pt>
                <pt idx="18">
                  <v>0.05340196646638678</v>
                </pt>
                <pt idx="19">
                  <v>0.04659347212996448</v>
                </pt>
                <pt idx="20">
                  <v>0.03762329865266437</v>
                </pt>
                <pt idx="21">
                  <v>0.02742761019949758</v>
                </pt>
                <pt idx="22">
                  <v>0.01920451476962713</v>
                </pt>
                <pt idx="23">
                  <v>0.01254838064342327</v>
                </pt>
                <pt idx="24">
                  <v>0.007145499272102442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351799384"/>
        <axId val="351795072"/>
      </scatterChart>
      <valAx>
        <axId val="351799384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rich>
          </tx>
          <overlay val="0"/>
        </title>
        <numFmt formatCode="General" sourceLinked="1"/>
        <majorTickMark val="in"/>
        <minorTickMark val="none"/>
        <tickLblPos val="nextTo"/>
        <spPr>
          <a:ln w="12700">
            <a:solidFill>
              <a:schemeClr val="tx1"/>
            </a:solidFill>
            <a:prstDash val="solid"/>
          </a:ln>
        </spPr>
        <txPr>
          <a:bodyPr/>
          <a:lstStyle/>
          <a:p>
            <a:pPr>
              <a:defRPr sz="1200"/>
            </a:pPr>
            <a:r>
              <a:t/>
            </a:r>
            <a:endParaRPr lang="en-NL"/>
          </a:p>
        </txPr>
        <crossAx val="351795072"/>
        <crosses val="autoZero"/>
        <crossBetween val="midCat"/>
      </valAx>
      <valAx>
        <axId val="351795072"/>
        <scaling>
          <orientation val="minMax"/>
        </scaling>
        <delete val="0"/>
        <axPos val="l"/>
        <majorGridlines>
          <spPr>
            <a:ln w="3175" cmpd="sng">
              <a:solidFill>
                <a:schemeClr val="tx1"/>
              </a:solidFill>
              <a:prstDash val="dash"/>
            </a:ln>
          </spPr>
        </majorGridlines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C</a:t>
                </a:r>
                <a:r>
                  <a:rPr lang="en-US" sz="800"/>
                  <a:t>p</a:t>
                </a:r>
                <a:endParaRPr lang="en-US"/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noFill/>
          <a:ln w="12700">
            <a:solidFill>
              <a:schemeClr val="tx1"/>
            </a:solidFill>
            <a:prstDash val="solid"/>
          </a:ln>
        </spPr>
        <txPr>
          <a:bodyPr/>
          <a:lstStyle/>
          <a:p>
            <a:pPr>
              <a:defRPr sz="1200"/>
            </a:pPr>
            <a:r>
              <a:t/>
            </a:r>
            <a:endParaRPr lang="en-NL"/>
          </a:p>
        </txPr>
        <crossAx val="351799384"/>
        <crosses val="autoZero"/>
        <crossBetween val="midCat"/>
        <majorUnit val="0.1"/>
      </valAx>
    </plotArea>
    <plotVisOnly val="1"/>
    <dispBlanksAs val="gap"/>
  </chart>
  <spPr>
    <a:solidFill>
      <a:schemeClr val="bg1"/>
    </a:solidFill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400"/>
            </a:pPr>
            <a:r>
              <a:rPr lang="en-US" sz="1200"/>
              <a:t>C</a:t>
            </a:r>
            <a:r>
              <a:rPr lang="en-NL" sz="1050"/>
              <a:t>T</a:t>
            </a:r>
            <a:r>
              <a:rPr lang="en-US" sz="1200" baseline="0"/>
              <a:t xml:space="preserve"> vs. wind speed</a:t>
            </a:r>
            <a:endParaRPr lang="en-US" sz="1200"/>
          </a:p>
        </rich>
      </tx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'WTG Yield Wake'!$E$13</f>
              <strCache>
                <ptCount val="1"/>
              </strCache>
            </strRef>
          </tx>
          <spPr>
            <a:ln w="25400"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'WTG Yield Wake'!$B$17:$B$41</f>
              <numCache>
                <formatCode>General</formatCode>
                <ptCount val="25"/>
                <pt idx="0">
                  <v>3.5</v>
                </pt>
                <pt idx="1">
                  <v>4.5</v>
                </pt>
                <pt idx="2">
                  <v>5.5</v>
                </pt>
                <pt idx="3">
                  <v>6.5</v>
                </pt>
                <pt idx="4">
                  <v>7.5</v>
                </pt>
                <pt idx="5">
                  <v>8.5</v>
                </pt>
                <pt idx="6">
                  <v>9.5</v>
                </pt>
                <pt idx="7">
                  <v>10.5</v>
                </pt>
                <pt idx="8">
                  <v>11.5</v>
                </pt>
                <pt idx="9">
                  <v>12.5</v>
                </pt>
                <pt idx="10">
                  <v>13.5</v>
                </pt>
                <pt idx="11">
                  <v>14.5</v>
                </pt>
                <pt idx="12">
                  <v>15.5</v>
                </pt>
                <pt idx="13">
                  <v>16.5</v>
                </pt>
                <pt idx="14">
                  <v>17.5</v>
                </pt>
                <pt idx="15">
                  <v>18.5</v>
                </pt>
                <pt idx="16">
                  <v>19.5</v>
                </pt>
                <pt idx="17">
                  <v>20.5</v>
                </pt>
                <pt idx="18">
                  <v>21.5</v>
                </pt>
                <pt idx="19">
                  <v>22.5</v>
                </pt>
                <pt idx="20">
                  <v>23.5</v>
                </pt>
                <pt idx="21">
                  <v>24.5</v>
                </pt>
                <pt idx="22">
                  <v>25.5</v>
                </pt>
                <pt idx="23">
                  <v>26.5</v>
                </pt>
                <pt idx="24">
                  <v>27.5</v>
                </pt>
              </numCache>
            </numRef>
          </xVal>
          <yVal>
            <numRef>
              <f>'WTG Yield Wake'!$F$14:$F$42</f>
              <numCache>
                <formatCode>0.000</formatCode>
                <ptCount val="2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0.855</v>
                </pt>
                <pt idx="4">
                  <v>0.855</v>
                </pt>
                <pt idx="5">
                  <v>0.855</v>
                </pt>
                <pt idx="6">
                  <v>0.858</v>
                </pt>
                <pt idx="7">
                  <v>0.863</v>
                </pt>
                <pt idx="8">
                  <v>0.84</v>
                </pt>
                <pt idx="9">
                  <v>0.752</v>
                </pt>
                <pt idx="10">
                  <v>0.641</v>
                </pt>
                <pt idx="11">
                  <v>0.521</v>
                </pt>
                <pt idx="12">
                  <v>0.402</v>
                </pt>
                <pt idx="13">
                  <v>0.309</v>
                </pt>
                <pt idx="14">
                  <v>0.244</v>
                </pt>
                <pt idx="15">
                  <v>0.197</v>
                </pt>
                <pt idx="16">
                  <v>0.162</v>
                </pt>
                <pt idx="17">
                  <v>0.136</v>
                </pt>
                <pt idx="18">
                  <v>0.116</v>
                </pt>
                <pt idx="19">
                  <v>0.1</v>
                </pt>
                <pt idx="20">
                  <v>0.08799999999999999</v>
                </pt>
                <pt idx="21">
                  <v>0.078</v>
                </pt>
                <pt idx="22">
                  <v>0.07000000000000001</v>
                </pt>
                <pt idx="23">
                  <v>0.058</v>
                </pt>
                <pt idx="24">
                  <v>0.044</v>
                </pt>
                <pt idx="25">
                  <v>0.033</v>
                </pt>
                <pt idx="26">
                  <v>0.023</v>
                </pt>
                <pt idx="27">
                  <v>0.0015</v>
                </pt>
                <pt idx="28">
                  <v>0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351799384"/>
        <axId val="351795072"/>
      </scatterChart>
      <valAx>
        <axId val="351799384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US"/>
                  <a:t>wind speed (m/s)</a:t>
                </a:r>
              </a:p>
            </rich>
          </tx>
          <overlay val="0"/>
        </title>
        <numFmt formatCode="General" sourceLinked="1"/>
        <majorTickMark val="in"/>
        <minorTickMark val="none"/>
        <tickLblPos val="nextTo"/>
        <spPr>
          <a:ln w="12700">
            <a:solidFill>
              <a:schemeClr val="tx1"/>
            </a:solidFill>
            <a:prstDash val="solid"/>
          </a:ln>
        </spPr>
        <txPr>
          <a:bodyPr/>
          <a:lstStyle/>
          <a:p>
            <a:pPr>
              <a:defRPr sz="1200"/>
            </a:pPr>
            <a:r>
              <a:t/>
            </a:r>
            <a:endParaRPr lang="en-NL"/>
          </a:p>
        </txPr>
        <crossAx val="351795072"/>
        <crosses val="autoZero"/>
        <crossBetween val="midCat"/>
      </valAx>
      <valAx>
        <axId val="351795072"/>
        <scaling>
          <orientation val="minMax"/>
        </scaling>
        <delete val="0"/>
        <axPos val="l"/>
        <majorGridlines>
          <spPr>
            <a:ln w="3175" cmpd="sng">
              <a:solidFill>
                <a:schemeClr val="tx1"/>
              </a:solidFill>
              <a:prstDash val="dash"/>
            </a:ln>
          </spPr>
        </majorGridlines>
        <title>
          <tx>
            <rich>
              <a:bodyPr rot="-5400000" vert="horz"/>
              <a:lstStyle/>
              <a:p>
                <a:pPr>
                  <a:defRPr/>
                </a:pPr>
                <a:r>
                  <a:rPr lang="en-US"/>
                  <a:t>C</a:t>
                </a:r>
                <a:r>
                  <a:rPr lang="en-US" sz="800"/>
                  <a:t>p</a:t>
                </a:r>
                <a:endParaRPr lang="en-US"/>
              </a:p>
            </rich>
          </tx>
          <overlay val="0"/>
        </title>
        <numFmt formatCode="0.0" sourceLinked="0"/>
        <majorTickMark val="in"/>
        <minorTickMark val="none"/>
        <tickLblPos val="nextTo"/>
        <spPr>
          <a:noFill/>
          <a:ln w="12700">
            <a:solidFill>
              <a:schemeClr val="tx1"/>
            </a:solidFill>
            <a:prstDash val="solid"/>
          </a:ln>
        </spPr>
        <txPr>
          <a:bodyPr/>
          <a:lstStyle/>
          <a:p>
            <a:pPr>
              <a:defRPr sz="1200"/>
            </a:pPr>
            <a:r>
              <a:t/>
            </a:r>
            <a:endParaRPr lang="en-NL"/>
          </a:p>
        </txPr>
        <crossAx val="351799384"/>
        <crosses val="autoZero"/>
        <crossBetween val="midCat"/>
        <majorUnit val="0.1"/>
      </valAx>
    </plotArea>
    <plotVisOnly val="1"/>
    <dispBlanksAs val="gap"/>
  </chart>
  <spPr>
    <a:solidFill>
      <a:schemeClr val="bg1"/>
    </a:solidFill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L"/>
              <a:t>Wind</a:t>
            </a:r>
            <a:r>
              <a:rPr lang="en-NL" baseline="0"/>
              <a:t xml:space="preserve"> Speed Distribution [h/year]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NL"/>
        </a:p>
      </txPr>
    </title>
    <plotArea>
      <layout/>
      <scatterChart>
        <scatterStyle val="smoothMarker"/>
        <varyColors val="0"/>
        <ser>
          <idx val="0"/>
          <order val="0"/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IAC!$B$18:$B$46</f>
              <numCache>
                <formatCode>General</formatCode>
                <ptCount val="29"/>
                <pt idx="0">
                  <v>0.5</v>
                </pt>
                <pt idx="1">
                  <v>1.5</v>
                </pt>
                <pt idx="2">
                  <v>2.5</v>
                </pt>
                <pt idx="3">
                  <v>3.5</v>
                </pt>
                <pt idx="4">
                  <v>4.5</v>
                </pt>
                <pt idx="5">
                  <v>5.5</v>
                </pt>
                <pt idx="6">
                  <v>6.5</v>
                </pt>
                <pt idx="7">
                  <v>7.5</v>
                </pt>
                <pt idx="8">
                  <v>8.5</v>
                </pt>
                <pt idx="9">
                  <v>9.5</v>
                </pt>
                <pt idx="10">
                  <v>10.5</v>
                </pt>
                <pt idx="11">
                  <v>11.5</v>
                </pt>
                <pt idx="12">
                  <v>12.5</v>
                </pt>
                <pt idx="13">
                  <v>13.5</v>
                </pt>
                <pt idx="14">
                  <v>14.5</v>
                </pt>
                <pt idx="15">
                  <v>15.5</v>
                </pt>
                <pt idx="16">
                  <v>16.5</v>
                </pt>
                <pt idx="17">
                  <v>17.5</v>
                </pt>
                <pt idx="18">
                  <v>18.5</v>
                </pt>
                <pt idx="19">
                  <v>19.5</v>
                </pt>
                <pt idx="20">
                  <v>20.5</v>
                </pt>
                <pt idx="21">
                  <v>21.5</v>
                </pt>
                <pt idx="22">
                  <v>22.5</v>
                </pt>
                <pt idx="23">
                  <v>23.5</v>
                </pt>
                <pt idx="24">
                  <v>24.5</v>
                </pt>
                <pt idx="25">
                  <v>25.5</v>
                </pt>
                <pt idx="26">
                  <v>26.5</v>
                </pt>
                <pt idx="27">
                  <v>27.5</v>
                </pt>
                <pt idx="28">
                  <v>28.5</v>
                </pt>
              </numCache>
            </numRef>
          </xVal>
          <yVal>
            <numRef>
              <f>IAC!$J$18:$J$46</f>
              <numCache>
                <formatCode xml:space="preserve">_ * #,##0_ ;_ * \-#,##0_ ;_ * "-"??_ ;_ @_ </formatCode>
                <ptCount val="29"/>
                <pt idx="0">
                  <v>57</v>
                </pt>
                <pt idx="1">
                  <v>151.986</v>
                </pt>
                <pt idx="2">
                  <v>293.9856</v>
                </pt>
                <pt idx="3">
                  <v>423.2832</v>
                </pt>
                <pt idx="4">
                  <v>559.7639999999999</v>
                </pt>
                <pt idx="5">
                  <v>670.7532000000001</v>
                </pt>
                <pt idx="6">
                  <v>764.9232</v>
                </pt>
                <pt idx="7">
                  <v>827.6448000000001</v>
                </pt>
                <pt idx="8">
                  <v>842.6244</v>
                </pt>
                <pt idx="9">
                  <v>799.1748</v>
                </pt>
                <pt idx="10">
                  <v>717.6192</v>
                </pt>
                <pt idx="11">
                  <v>620.3832</v>
                </pt>
                <pt idx="12">
                  <v>510.27</v>
                </pt>
                <pt idx="13">
                  <v>399.2808</v>
                </pt>
                <pt idx="14">
                  <v>295.4748</v>
                </pt>
                <pt idx="15">
                  <v>211.4664</v>
                </pt>
                <pt idx="16">
                  <v>157.7676</v>
                </pt>
                <pt idx="17">
                  <v>123.954</v>
                </pt>
                <pt idx="18">
                  <v>100.3896</v>
                </pt>
                <pt idx="19">
                  <v>75.68640000000001</v>
                </pt>
                <pt idx="20">
                  <v>53.6112</v>
                </pt>
                <pt idx="21">
                  <v>38.106</v>
                </pt>
                <pt idx="22">
                  <v>25.7544</v>
                </pt>
                <pt idx="23">
                  <v>15.8556</v>
                </pt>
                <pt idx="24">
                  <v>9.548400000000001</v>
                </pt>
                <pt idx="25">
                  <v>6.219599999999999</v>
                </pt>
                <pt idx="26">
                  <v>3.4164</v>
                </pt>
                <pt idx="27">
                  <v>2.3652</v>
                </pt>
                <pt idx="28">
                  <formatCode>General</formatCode>
                  <v>1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305724159"/>
        <axId val="1305720799"/>
      </scatterChart>
      <valAx>
        <axId val="1305724159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Wind</a:t>
                </a:r>
                <a:r>
                  <a:rPr lang="en-US" baseline="0"/>
                  <a:t xml:space="preserve"> Speed [m/s]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NL"/>
            </a:p>
          </tx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NL"/>
          </a:p>
        </txPr>
        <crossAx val="1305720799"/>
        <crosses val="autoZero"/>
        <crossBetween val="midCat"/>
      </valAx>
      <valAx>
        <axId val="130572079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Hours / Year [h/year]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NL"/>
            </a:p>
          </txPr>
        </title>
        <numFmt formatCode="_ * #,##0_ ;_ * \-#,##0_ ;_ * &quot;-&quot;??_ ;_ @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NL"/>
          </a:p>
        </txPr>
        <crossAx val="1305724159"/>
        <crosses val="autoZero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0</colOff>
      <row>1</row>
      <rowOff>0</rowOff>
    </from>
    <to>
      <col>21</col>
      <colOff>387350</colOff>
      <row>18</row>
      <rowOff>108857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19792</colOff>
      <row>20</row>
      <rowOff>29691</rowOff>
    </from>
    <to>
      <col>21</col>
      <colOff>407142</colOff>
      <row>40</row>
      <rowOff>59376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0</colOff>
      <row>42</row>
      <rowOff>7776</rowOff>
    </from>
    <to>
      <col>21</col>
      <colOff>383268</colOff>
      <row>62</row>
      <rowOff>33767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12</col>
      <colOff>16006</colOff>
      <row>17</row>
      <rowOff>14726</rowOff>
    </from>
    <to>
      <col>19</col>
      <colOff>195300</colOff>
      <row>33</row>
      <rowOff>94128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6"/>
  <sheetViews>
    <sheetView tabSelected="1" zoomScale="70" zoomScaleNormal="70" workbookViewId="0">
      <selection activeCell="I7" sqref="I7"/>
    </sheetView>
  </sheetViews>
  <sheetFormatPr baseColWidth="8" defaultColWidth="8.84375" defaultRowHeight="12.9"/>
  <cols>
    <col width="8.84375" customWidth="1" style="9" min="1" max="1"/>
    <col width="11.3828125" bestFit="1" customWidth="1" style="9" min="2" max="2"/>
    <col width="15.15234375" bestFit="1" customWidth="1" style="9" min="3" max="3"/>
    <col width="10" bestFit="1" customWidth="1" style="9" min="4" max="4"/>
    <col width="6.53515625" bestFit="1" customWidth="1" style="9" min="5" max="5"/>
    <col width="5.84375" bestFit="1" customWidth="1" style="9" min="6" max="6"/>
    <col width="11.53515625" customWidth="1" style="9" min="7" max="7"/>
    <col width="13.3828125" bestFit="1" customWidth="1" style="9" min="8" max="8"/>
    <col width="14.3828125" bestFit="1" customWidth="1" style="9" min="9" max="9"/>
    <col width="10" bestFit="1" customWidth="1" style="9" min="10" max="10"/>
    <col width="12.53515625" customWidth="1" style="9" min="11" max="11"/>
    <col width="13.84375" bestFit="1" customWidth="1" style="9" min="12" max="12"/>
    <col width="8.84375" customWidth="1" style="9" min="13" max="16384"/>
  </cols>
  <sheetData>
    <row r="2" ht="13.3" customHeight="1" thickBot="1">
      <c r="B2" s="2" t="inlineStr">
        <is>
          <t>WTG 1</t>
        </is>
      </c>
    </row>
    <row r="3">
      <c r="B3" s="120" t="inlineStr">
        <is>
          <t>Diameter</t>
        </is>
      </c>
      <c r="C3" s="124" t="n"/>
      <c r="D3" s="34" t="n">
        <v>280</v>
      </c>
      <c r="E3" s="4" t="inlineStr">
        <is>
          <t>m</t>
        </is>
      </c>
    </row>
    <row r="4">
      <c r="B4" s="118" t="inlineStr">
        <is>
          <t>Swept area</t>
        </is>
      </c>
      <c r="C4" s="125" t="n"/>
      <c r="D4" s="35">
        <f>PI()*D3^2*(1/4)</f>
        <v/>
      </c>
      <c r="E4" s="7" t="inlineStr">
        <is>
          <t>m^2</t>
        </is>
      </c>
    </row>
    <row r="5">
      <c r="B5" s="118" t="inlineStr">
        <is>
          <t>Rated power</t>
        </is>
      </c>
      <c r="C5" s="125" t="n"/>
      <c r="D5" s="36" t="n">
        <v>20</v>
      </c>
      <c r="E5" s="7" t="inlineStr">
        <is>
          <t>MW</t>
        </is>
      </c>
    </row>
    <row r="6">
      <c r="B6" s="118" t="inlineStr">
        <is>
          <t>Power density rotor</t>
        </is>
      </c>
      <c r="C6" s="125" t="n"/>
      <c r="D6" s="35">
        <f>D5*1000000/D4</f>
        <v/>
      </c>
      <c r="E6" s="7" t="inlineStr">
        <is>
          <t>W/m^2</t>
        </is>
      </c>
    </row>
    <row r="7">
      <c r="B7" s="118" t="inlineStr">
        <is>
          <t>Rated rotor speed</t>
        </is>
      </c>
      <c r="C7" s="125" t="n"/>
      <c r="D7" s="36" t="n">
        <v>7</v>
      </c>
      <c r="E7" s="7" t="inlineStr">
        <is>
          <t>rpm</t>
        </is>
      </c>
    </row>
    <row r="8">
      <c r="B8" s="118" t="inlineStr">
        <is>
          <t>Rated tip speed</t>
        </is>
      </c>
      <c r="C8" s="125" t="n"/>
      <c r="D8" s="35">
        <f>PI()*D3*D7/60</f>
        <v/>
      </c>
      <c r="E8" s="7" t="inlineStr">
        <is>
          <t>m/s</t>
        </is>
      </c>
      <c r="F8" s="10" t="n"/>
    </row>
    <row r="9" ht="13.3" customHeight="1" thickBot="1">
      <c r="B9" s="122" t="inlineStr">
        <is>
          <t>Hub height</t>
        </is>
      </c>
      <c r="C9" s="126" t="n"/>
      <c r="D9" s="37" t="n">
        <v>160</v>
      </c>
      <c r="E9" s="8" t="inlineStr">
        <is>
          <t>m</t>
        </is>
      </c>
    </row>
    <row r="10">
      <c r="B10" s="12" t="n"/>
      <c r="C10" s="12" t="n"/>
      <c r="D10" s="13" t="n"/>
      <c r="K10" s="16" t="inlineStr">
        <is>
          <t># of WTGs:</t>
        </is>
      </c>
    </row>
    <row r="11" ht="13.3" customHeight="1" thickBot="1">
      <c r="B11" s="2" t="inlineStr">
        <is>
          <t>WTG 1 Parameters*)</t>
        </is>
      </c>
      <c r="H11" s="2" t="inlineStr">
        <is>
          <t>Offshore Site 1</t>
        </is>
      </c>
      <c r="K11" s="16" t="n">
        <v>80</v>
      </c>
    </row>
    <row r="12" ht="25.75" customHeight="1">
      <c r="B12" s="38" t="inlineStr">
        <is>
          <t>Wind speed</t>
        </is>
      </c>
      <c r="C12" s="39" t="inlineStr">
        <is>
          <t>Power in the Wind</t>
        </is>
      </c>
      <c r="D12" s="40" t="inlineStr">
        <is>
          <t>WTG Power</t>
        </is>
      </c>
      <c r="E12" s="41" t="inlineStr">
        <is>
          <t>C_P</t>
        </is>
      </c>
      <c r="F12" s="41" t="inlineStr">
        <is>
          <t>C_T</t>
        </is>
      </c>
      <c r="G12" s="18" t="n"/>
      <c r="H12" s="83" t="inlineStr">
        <is>
          <t>Free windspeed at hub height</t>
        </is>
      </c>
      <c r="I12" s="39" t="inlineStr">
        <is>
          <t>Time</t>
        </is>
      </c>
      <c r="J12" s="39" t="inlineStr">
        <is>
          <t>Gross Yield</t>
        </is>
      </c>
      <c r="K12" s="40" t="inlineStr">
        <is>
          <t>Park Efficiency</t>
        </is>
      </c>
      <c r="L12" s="19" t="inlineStr">
        <is>
          <t>Gross Yield incl. Wake Loss</t>
        </is>
      </c>
    </row>
    <row r="13">
      <c r="B13" s="20" t="inlineStr">
        <is>
          <t>(m/s)</t>
        </is>
      </c>
      <c r="C13" s="6" t="inlineStr">
        <is>
          <t>(MW)</t>
        </is>
      </c>
      <c r="D13" s="7" t="inlineStr">
        <is>
          <t>(MW)</t>
        </is>
      </c>
      <c r="E13" s="42" t="n"/>
      <c r="F13" s="42" t="n"/>
      <c r="H13" s="20" t="inlineStr">
        <is>
          <t>(m/s)</t>
        </is>
      </c>
      <c r="I13" s="6" t="inlineStr">
        <is>
          <t>% of year</t>
        </is>
      </c>
      <c r="J13" s="6" t="inlineStr">
        <is>
          <t>(MWh/year)</t>
        </is>
      </c>
      <c r="K13" s="7" t="inlineStr">
        <is>
          <t>%</t>
        </is>
      </c>
      <c r="L13" s="3" t="inlineStr">
        <is>
          <t>(MWh/year)</t>
        </is>
      </c>
    </row>
    <row r="14">
      <c r="B14" s="20">
        <f>H14</f>
        <v/>
      </c>
      <c r="C14" s="127">
        <f>0.5*1.224*$D$4*(B14^3)/1000000</f>
        <v/>
      </c>
      <c r="D14" s="128" t="n">
        <v>0</v>
      </c>
      <c r="E14" s="129">
        <f>D14/C14</f>
        <v/>
      </c>
      <c r="F14" s="129" t="n">
        <v>0</v>
      </c>
      <c r="H14" s="20" t="n">
        <v>0.5</v>
      </c>
      <c r="I14" s="130" t="n">
        <v>0.652</v>
      </c>
      <c r="J14" s="131">
        <f>I14*$D14*8766</f>
        <v/>
      </c>
      <c r="K14" s="132" t="n"/>
      <c r="L14" s="11" t="n"/>
    </row>
    <row r="15">
      <c r="B15" s="20">
        <f>H15</f>
        <v/>
      </c>
      <c r="C15" s="127">
        <f>0.5*1.224*$D$4*(B15^3)/1000000</f>
        <v/>
      </c>
      <c r="D15" s="128" t="n">
        <v>0</v>
      </c>
      <c r="E15" s="129">
        <f>D15/C15</f>
        <v/>
      </c>
      <c r="F15" s="129" t="n">
        <v>0</v>
      </c>
      <c r="H15" s="20" t="n">
        <v>1.5</v>
      </c>
      <c r="I15" s="130" t="n">
        <v>1.735</v>
      </c>
      <c r="J15" s="131">
        <f>I15*$D15*8766</f>
        <v/>
      </c>
      <c r="K15" s="132" t="n"/>
      <c r="L15" s="11" t="n"/>
    </row>
    <row r="16">
      <c r="B16" s="20">
        <f>H16</f>
        <v/>
      </c>
      <c r="C16" s="127">
        <f>0.5*1.224*$D$4*(B16^3)/1000000</f>
        <v/>
      </c>
      <c r="D16" s="128" t="n">
        <v>0</v>
      </c>
      <c r="E16" s="129">
        <f>D16/C16</f>
        <v/>
      </c>
      <c r="F16" s="129" t="n">
        <v>0</v>
      </c>
      <c r="H16" s="20" t="n">
        <v>2.5</v>
      </c>
      <c r="I16" s="130" t="n">
        <v>3.356</v>
      </c>
      <c r="J16" s="131">
        <f>I16*$D16*8766</f>
        <v/>
      </c>
      <c r="K16" s="132" t="n"/>
      <c r="L16" s="11" t="n"/>
    </row>
    <row r="17">
      <c r="B17" s="20">
        <f>H17</f>
        <v/>
      </c>
      <c r="C17" s="127">
        <f>0.5*1.224*$D$4*(B17^3)/1000000</f>
        <v/>
      </c>
      <c r="D17" s="128" t="n">
        <v>0.437</v>
      </c>
      <c r="E17" s="129">
        <f>D17/C17</f>
        <v/>
      </c>
      <c r="F17" s="129" t="n">
        <v>0.855</v>
      </c>
      <c r="H17" s="20" t="n">
        <v>3.5</v>
      </c>
      <c r="I17" s="130" t="n">
        <v>4.832</v>
      </c>
      <c r="J17" s="131">
        <f>I17*$D17/100*8766</f>
        <v/>
      </c>
      <c r="K17" s="52" t="n">
        <v>0.4893617021276596</v>
      </c>
      <c r="L17" s="133">
        <f>$K$11*J17*K17</f>
        <v/>
      </c>
    </row>
    <row r="18">
      <c r="B18" s="20">
        <f>H18</f>
        <v/>
      </c>
      <c r="C18" s="127">
        <f>0.5*1.224*$D$4*(B18^3)/1000000</f>
        <v/>
      </c>
      <c r="D18" s="128" t="n">
        <v>1.423</v>
      </c>
      <c r="E18" s="129">
        <f>D18/C18</f>
        <v/>
      </c>
      <c r="F18" s="129" t="n">
        <v>0.855</v>
      </c>
      <c r="H18" s="20" t="n">
        <v>4.5</v>
      </c>
      <c r="I18" s="130" t="n">
        <v>6.39</v>
      </c>
      <c r="J18" s="131">
        <f>I18*$D18/100*8766</f>
        <v/>
      </c>
      <c r="K18" s="52" t="n">
        <v>0.5666389681708154</v>
      </c>
      <c r="L18" s="133">
        <f>$K$11*J18*K18</f>
        <v/>
      </c>
    </row>
    <row r="19">
      <c r="B19" s="20">
        <f>H19</f>
        <v/>
      </c>
      <c r="C19" s="127">
        <f>0.5*1.224*$D$4*(B19^3)/1000000</f>
        <v/>
      </c>
      <c r="D19" s="128" t="n">
        <v>2.83</v>
      </c>
      <c r="E19" s="129">
        <f>D19/C19</f>
        <v/>
      </c>
      <c r="F19" s="129" t="n">
        <v>0.855</v>
      </c>
      <c r="H19" s="20" t="n">
        <v>5.5</v>
      </c>
      <c r="I19" s="130" t="n">
        <v>7.657</v>
      </c>
      <c r="J19" s="131">
        <f>I19*$D19/100*8766</f>
        <v/>
      </c>
      <c r="K19" s="52" t="n">
        <v>0.6163310354810111</v>
      </c>
      <c r="L19" s="133">
        <f>$K$11*J19*K19</f>
        <v/>
      </c>
    </row>
    <row r="20">
      <c r="B20" s="20">
        <f>H20</f>
        <v/>
      </c>
      <c r="C20" s="127">
        <f>0.5*1.224*$D$4*(B20^3)/1000000</f>
        <v/>
      </c>
      <c r="D20" s="128" t="n">
        <v>4.772</v>
      </c>
      <c r="E20" s="129">
        <f>D20/C20</f>
        <v/>
      </c>
      <c r="F20" s="129" t="n">
        <v>0.858</v>
      </c>
      <c r="H20" s="20" t="n">
        <v>6.5</v>
      </c>
      <c r="I20" s="130" t="n">
        <v>8.731999999999999</v>
      </c>
      <c r="J20" s="131">
        <f>I20*$D20/100*8766</f>
        <v/>
      </c>
      <c r="K20" s="52" t="n">
        <v>0.6366540869714383</v>
      </c>
      <c r="L20" s="133">
        <f>$K$11*J20*K20</f>
        <v/>
      </c>
    </row>
    <row r="21">
      <c r="B21" s="20">
        <f>H21</f>
        <v/>
      </c>
      <c r="C21" s="127">
        <f>0.5*1.224*$D$4*(B21^3)/1000000</f>
        <v/>
      </c>
      <c r="D21" s="128" t="n">
        <v>7.46</v>
      </c>
      <c r="E21" s="129">
        <f>D21/C21</f>
        <v/>
      </c>
      <c r="F21" s="129" t="n">
        <v>0.863</v>
      </c>
      <c r="H21" s="20" t="n">
        <v>7.5</v>
      </c>
      <c r="I21" s="130" t="n">
        <v>9.448</v>
      </c>
      <c r="J21" s="131">
        <f>I21*$D21/100*8766</f>
        <v/>
      </c>
      <c r="K21" s="52" t="n">
        <v>0.6457574343292212</v>
      </c>
      <c r="L21" s="133">
        <f>$K$11*J21*K21</f>
        <v/>
      </c>
    </row>
    <row r="22">
      <c r="B22" s="20">
        <f>H22</f>
        <v/>
      </c>
      <c r="C22" s="127">
        <f>0.5*1.224*$D$4*(B22^3)/1000000</f>
        <v/>
      </c>
      <c r="D22" s="128" t="n">
        <v>10.949</v>
      </c>
      <c r="E22" s="129">
        <f>D22/C22</f>
        <v/>
      </c>
      <c r="F22" s="129" t="n">
        <v>0.84</v>
      </c>
      <c r="H22" s="20" t="n">
        <v>8.5</v>
      </c>
      <c r="I22" s="130" t="n">
        <v>9.619</v>
      </c>
      <c r="J22" s="131">
        <f>I22*$D22/100*8766</f>
        <v/>
      </c>
      <c r="K22" s="52" t="n">
        <v>0.6620209059233449</v>
      </c>
      <c r="L22" s="133">
        <f>$K$11*J22*K22</f>
        <v/>
      </c>
    </row>
    <row r="23">
      <c r="B23" s="20">
        <f>H23</f>
        <v/>
      </c>
      <c r="C23" s="127">
        <f>0.5*1.224*$D$4*(B23^3)/1000000</f>
        <v/>
      </c>
      <c r="D23" s="128" t="n">
        <v>14.623</v>
      </c>
      <c r="E23" s="129">
        <f>D23/C23</f>
        <v/>
      </c>
      <c r="F23" s="129" t="n">
        <v>0.752</v>
      </c>
      <c r="H23" s="20" t="n">
        <v>9.5</v>
      </c>
      <c r="I23" s="130" t="n">
        <v>9.122999999999999</v>
      </c>
      <c r="J23" s="131">
        <f>I23*$D23/100*8766</f>
        <v/>
      </c>
      <c r="K23" s="52" t="n">
        <v>0.6985789495103462</v>
      </c>
      <c r="L23" s="133">
        <f>$K$11*J23*K23</f>
        <v/>
      </c>
    </row>
    <row r="24">
      <c r="B24" s="20">
        <f>H24</f>
        <v/>
      </c>
      <c r="C24" s="127">
        <f>0.5*1.224*$D$4*(B24^3)/1000000</f>
        <v/>
      </c>
      <c r="D24" s="128" t="n">
        <v>17.73</v>
      </c>
      <c r="E24" s="129">
        <f>D24/C24</f>
        <v/>
      </c>
      <c r="F24" s="129" t="n">
        <v>0.641</v>
      </c>
      <c r="H24" s="20" t="n">
        <v>10.5</v>
      </c>
      <c r="I24" s="130" t="n">
        <v>8.192</v>
      </c>
      <c r="J24" s="131">
        <f>I24*$D24/100*8766</f>
        <v/>
      </c>
      <c r="K24" s="52" t="n">
        <v>0.7562148309771474</v>
      </c>
      <c r="L24" s="133">
        <f>$K$11*J24*K24</f>
        <v/>
      </c>
    </row>
    <row r="25">
      <c r="B25" s="20">
        <f>H25</f>
        <v/>
      </c>
      <c r="C25" s="127">
        <f>0.5*1.224*$D$4*(B25^3)/1000000</f>
        <v/>
      </c>
      <c r="D25" s="128" t="n">
        <v>19.442</v>
      </c>
      <c r="E25" s="129">
        <f>D25/C25</f>
        <v/>
      </c>
      <c r="F25" s="129" t="n">
        <v>0.521</v>
      </c>
      <c r="H25" s="20" t="n">
        <v>11.5</v>
      </c>
      <c r="I25" s="130" t="n">
        <v>7.082</v>
      </c>
      <c r="J25" s="131">
        <f>I25*$D25/100*8766</f>
        <v/>
      </c>
      <c r="K25" s="52" t="n">
        <v>0.8376820791534116</v>
      </c>
      <c r="L25" s="133">
        <f>$K$11*J25*K25</f>
        <v/>
      </c>
    </row>
    <row r="26">
      <c r="B26" s="20">
        <f>H26</f>
        <v/>
      </c>
      <c r="C26" s="127">
        <f>0.5*1.224*$D$4*(B26^3)/1000000</f>
        <v/>
      </c>
      <c r="D26" s="128" t="n">
        <v>19.921</v>
      </c>
      <c r="E26" s="129">
        <f>D26/C26</f>
        <v/>
      </c>
      <c r="F26" s="129" t="n">
        <v>0.402</v>
      </c>
      <c r="H26" s="20" t="n">
        <v>12.5</v>
      </c>
      <c r="I26" s="130" t="n">
        <v>5.825</v>
      </c>
      <c r="J26" s="131">
        <f>I26*$D26/100*8766</f>
        <v/>
      </c>
      <c r="K26" s="52" t="n">
        <v>0.9178824061130323</v>
      </c>
      <c r="L26" s="133">
        <f>$K$11*J26*K26</f>
        <v/>
      </c>
    </row>
    <row r="27">
      <c r="B27" s="20">
        <f>H27</f>
        <v/>
      </c>
      <c r="C27" s="127">
        <f>0.5*1.224*$D$4*(B27^3)/1000000</f>
        <v/>
      </c>
      <c r="D27" s="128" t="n">
        <v>19.991</v>
      </c>
      <c r="E27" s="129">
        <f>D27/C27</f>
        <v/>
      </c>
      <c r="F27" s="129" t="n">
        <v>0.309</v>
      </c>
      <c r="H27" s="20" t="n">
        <v>13.5</v>
      </c>
      <c r="I27" s="130" t="n">
        <v>4.558</v>
      </c>
      <c r="J27" s="131">
        <f>I27*$D27/100*8766</f>
        <v/>
      </c>
      <c r="K27" s="52" t="n">
        <v>0.9666110707358008</v>
      </c>
      <c r="L27" s="133">
        <f>$K$11*J27*K27</f>
        <v/>
      </c>
    </row>
    <row r="28">
      <c r="B28" s="20">
        <f>H28</f>
        <v/>
      </c>
      <c r="C28" s="127">
        <f>0.5*1.224*$D$4*(B28^3)/1000000</f>
        <v/>
      </c>
      <c r="D28" s="128" t="n">
        <v>20</v>
      </c>
      <c r="E28" s="129">
        <f>D28/C28</f>
        <v/>
      </c>
      <c r="F28" s="129" t="n">
        <v>0.244</v>
      </c>
      <c r="H28" s="20" t="n">
        <v>14.5</v>
      </c>
      <c r="I28" s="130" t="n">
        <v>3.373</v>
      </c>
      <c r="J28" s="131">
        <f>I28*$D28/100*8766</f>
        <v/>
      </c>
      <c r="K28" s="52" t="n">
        <v>0.9917742356937549</v>
      </c>
      <c r="L28" s="133">
        <f>$K$11*J28*K28</f>
        <v/>
      </c>
    </row>
    <row r="29">
      <c r="B29" s="20">
        <f>H29</f>
        <v/>
      </c>
      <c r="C29" s="127">
        <f>0.5*1.224*$D$4*(B29^3)/1000000</f>
        <v/>
      </c>
      <c r="D29" s="128" t="n">
        <v>20</v>
      </c>
      <c r="E29" s="129">
        <f>D29/C29</f>
        <v/>
      </c>
      <c r="F29" s="129" t="n">
        <v>0.197</v>
      </c>
      <c r="H29" s="20" t="n">
        <v>15.5</v>
      </c>
      <c r="I29" s="130" t="n">
        <v>2.414</v>
      </c>
      <c r="J29" s="131">
        <f>I29*$D29/100*8766</f>
        <v/>
      </c>
      <c r="K29" s="52" t="n">
        <v>0.9994303632087798</v>
      </c>
      <c r="L29" s="133">
        <f>$K$11*J29*K29</f>
        <v/>
      </c>
    </row>
    <row r="30">
      <c r="B30" s="20">
        <f>H30</f>
        <v/>
      </c>
      <c r="C30" s="127">
        <f>0.5*1.224*$D$4*(B30^3)/1000000</f>
        <v/>
      </c>
      <c r="D30" s="128" t="n">
        <v>20</v>
      </c>
      <c r="E30" s="129">
        <f>D30/C30</f>
        <v/>
      </c>
      <c r="F30" s="129" t="n">
        <v>0.162</v>
      </c>
      <c r="H30" s="20" t="n">
        <v>16.5</v>
      </c>
      <c r="I30" s="130" t="n">
        <v>1.801</v>
      </c>
      <c r="J30" s="131">
        <f>I30*$D30/100*8766</f>
        <v/>
      </c>
      <c r="K30" s="52" t="n">
        <v>0.9994303632087798</v>
      </c>
      <c r="L30" s="133">
        <f>$K$11*J30*K30</f>
        <v/>
      </c>
    </row>
    <row r="31">
      <c r="B31" s="20">
        <f>H31</f>
        <v/>
      </c>
      <c r="C31" s="127">
        <f>0.5*1.224*$D$4*(B31^3)/1000000</f>
        <v/>
      </c>
      <c r="D31" s="128" t="n">
        <v>20</v>
      </c>
      <c r="E31" s="129">
        <f>D31/C31</f>
        <v/>
      </c>
      <c r="F31" s="129" t="n">
        <v>0.136</v>
      </c>
      <c r="H31" s="20" t="n">
        <v>17.5</v>
      </c>
      <c r="I31" s="130" t="n">
        <v>1.415</v>
      </c>
      <c r="J31" s="131">
        <f>I31*$D31/100*8766</f>
        <v/>
      </c>
      <c r="K31" s="52" t="n">
        <v>0.9994303632087798</v>
      </c>
      <c r="L31" s="133">
        <f>$K$11*J31*K31</f>
        <v/>
      </c>
    </row>
    <row r="32">
      <c r="B32" s="20">
        <f>H32</f>
        <v/>
      </c>
      <c r="C32" s="127">
        <f>0.5*1.224*$D$4*(B32^3)/1000000</f>
        <v/>
      </c>
      <c r="D32" s="128" t="n">
        <v>20</v>
      </c>
      <c r="E32" s="129">
        <f>D32/C32</f>
        <v/>
      </c>
      <c r="F32" s="129" t="n">
        <v>0.116</v>
      </c>
      <c r="H32" s="20" t="n">
        <v>18.5</v>
      </c>
      <c r="I32" s="130" t="n">
        <v>1.146</v>
      </c>
      <c r="J32" s="131">
        <f>I32*$D32/100*8766</f>
        <v/>
      </c>
      <c r="K32" s="52" t="n">
        <v>0.9994303632087798</v>
      </c>
      <c r="L32" s="133">
        <f>$K$11*J32*K32</f>
        <v/>
      </c>
    </row>
    <row r="33">
      <c r="B33" s="20">
        <f>H33</f>
        <v/>
      </c>
      <c r="C33" s="127">
        <f>0.5*1.224*$D$4*(B33^3)/1000000</f>
        <v/>
      </c>
      <c r="D33" s="128" t="n">
        <v>20</v>
      </c>
      <c r="E33" s="129">
        <f>D33/C33</f>
        <v/>
      </c>
      <c r="F33" s="129" t="n">
        <v>0.1</v>
      </c>
      <c r="H33" s="20" t="n">
        <v>19.5</v>
      </c>
      <c r="I33" s="130" t="n">
        <v>0.864</v>
      </c>
      <c r="J33" s="131">
        <f>I33*$D33/100*8766</f>
        <v/>
      </c>
      <c r="K33" s="52" t="n">
        <v>0.9994303632087798</v>
      </c>
      <c r="L33" s="133">
        <f>$K$11*J33*K33</f>
        <v/>
      </c>
    </row>
    <row r="34">
      <c r="B34" s="20">
        <f>H34</f>
        <v/>
      </c>
      <c r="C34" s="127">
        <f>0.5*1.224*$D$4*(B34^3)/1000000</f>
        <v/>
      </c>
      <c r="D34" s="128" t="n">
        <v>20</v>
      </c>
      <c r="E34" s="129">
        <f>D34/C34</f>
        <v/>
      </c>
      <c r="F34" s="129" t="n">
        <v>0.08799999999999999</v>
      </c>
      <c r="H34" s="20" t="n">
        <v>20.5</v>
      </c>
      <c r="I34" s="130" t="n">
        <v>0.612</v>
      </c>
      <c r="J34" s="131">
        <f>I34*$D34/100*8766</f>
        <v/>
      </c>
      <c r="K34" s="52" t="n">
        <v>0.9994303632087798</v>
      </c>
      <c r="L34" s="133">
        <f>$K$11*J34*K34</f>
        <v/>
      </c>
    </row>
    <row r="35">
      <c r="B35" s="20">
        <f>H35</f>
        <v/>
      </c>
      <c r="C35" s="127">
        <f>0.5*1.224*$D$4*(B35^3)/1000000</f>
        <v/>
      </c>
      <c r="D35" s="128" t="n">
        <v>20</v>
      </c>
      <c r="E35" s="129">
        <f>D35/C35</f>
        <v/>
      </c>
      <c r="F35" s="129" t="n">
        <v>0.078</v>
      </c>
      <c r="H35" s="20" t="n">
        <v>21.5</v>
      </c>
      <c r="I35" s="130" t="n">
        <v>0.435</v>
      </c>
      <c r="J35" s="131">
        <f>I35*$D35/100*8766</f>
        <v/>
      </c>
      <c r="K35" s="52" t="n">
        <v>0.9994303632087798</v>
      </c>
      <c r="L35" s="133">
        <f>$K$11*J35*K35</f>
        <v/>
      </c>
    </row>
    <row r="36">
      <c r="B36" s="20">
        <f>H36</f>
        <v/>
      </c>
      <c r="C36" s="127">
        <f>0.5*1.224*$D$4*(B36^3)/1000000</f>
        <v/>
      </c>
      <c r="D36" s="128" t="n">
        <v>20</v>
      </c>
      <c r="E36" s="129">
        <f>D36/C36</f>
        <v/>
      </c>
      <c r="F36" s="129" t="n">
        <v>0.07000000000000001</v>
      </c>
      <c r="H36" s="20" t="n">
        <v>22.5</v>
      </c>
      <c r="I36" s="130" t="n">
        <v>0.294</v>
      </c>
      <c r="J36" s="131">
        <f>I36*$D36/100*8766</f>
        <v/>
      </c>
      <c r="K36" s="52" t="n">
        <v>0.9994303632087798</v>
      </c>
      <c r="L36" s="133">
        <f>$K$11*J36*K36</f>
        <v/>
      </c>
    </row>
    <row r="37">
      <c r="B37" s="20">
        <f>H37</f>
        <v/>
      </c>
      <c r="C37" s="127">
        <f>0.5*1.224*$D$4*(B37^3)/1000000</f>
        <v/>
      </c>
      <c r="D37" s="128" t="n">
        <v>18.4</v>
      </c>
      <c r="E37" s="129">
        <f>D37/C37</f>
        <v/>
      </c>
      <c r="F37" s="129" t="n">
        <v>0.058</v>
      </c>
      <c r="H37" s="20" t="n">
        <v>23.5</v>
      </c>
      <c r="I37" s="130" t="n">
        <v>0.181</v>
      </c>
      <c r="J37" s="131">
        <f>I37*$D37/100*8766</f>
        <v/>
      </c>
      <c r="K37" s="52" t="n">
        <v>1.04</v>
      </c>
      <c r="L37" s="133">
        <f>$K$11*J37*K37</f>
        <v/>
      </c>
    </row>
    <row r="38">
      <c r="B38" s="20">
        <f>H38</f>
        <v/>
      </c>
      <c r="C38" s="127">
        <f>0.5*1.224*$D$4*(B38^3)/1000000</f>
        <v/>
      </c>
      <c r="D38" s="128" t="n">
        <v>15.2</v>
      </c>
      <c r="E38" s="129">
        <f>D38/C38</f>
        <v/>
      </c>
      <c r="F38" s="129" t="n">
        <v>0.044</v>
      </c>
      <c r="H38" s="20" t="n">
        <v>24.5</v>
      </c>
      <c r="I38" s="130" t="n">
        <v>0.109</v>
      </c>
      <c r="J38" s="131">
        <f>I38*$D38/100*8766</f>
        <v/>
      </c>
      <c r="K38" s="52" t="n">
        <v>1.04</v>
      </c>
      <c r="L38" s="133">
        <f>$K$11*J38*K38</f>
        <v/>
      </c>
    </row>
    <row r="39">
      <c r="B39" s="20">
        <f>H39</f>
        <v/>
      </c>
      <c r="C39" s="127">
        <f>0.5*1.224*$D$4*(B39^3)/1000000</f>
        <v/>
      </c>
      <c r="D39" s="128" t="n">
        <v>12</v>
      </c>
      <c r="E39" s="129">
        <f>D39/C39</f>
        <v/>
      </c>
      <c r="F39" s="129" t="n">
        <v>0.033</v>
      </c>
      <c r="H39" s="20" t="n">
        <v>25.5</v>
      </c>
      <c r="I39" s="130" t="n">
        <v>0.07099999999999999</v>
      </c>
      <c r="J39" s="131">
        <f>I39*$D39/100*8766</f>
        <v/>
      </c>
      <c r="K39" s="52" t="n">
        <v>1.04</v>
      </c>
      <c r="L39" s="133">
        <f>$K$11*J39*K39</f>
        <v/>
      </c>
    </row>
    <row r="40">
      <c r="B40" s="20">
        <f>H40</f>
        <v/>
      </c>
      <c r="C40" s="127">
        <f>0.5*1.224*$D$4*(B40^3)/1000000</f>
        <v/>
      </c>
      <c r="D40" s="128" t="n">
        <v>8.799999999999999</v>
      </c>
      <c r="E40" s="129">
        <f>D40/C40</f>
        <v/>
      </c>
      <c r="F40" s="129" t="n">
        <v>0.023</v>
      </c>
      <c r="H40" s="20" t="n">
        <v>26.5</v>
      </c>
      <c r="I40" s="130" t="n">
        <v>0.039</v>
      </c>
      <c r="J40" s="131">
        <f>I40*$D40/100*8766</f>
        <v/>
      </c>
      <c r="K40" s="52" t="n">
        <v>1.04</v>
      </c>
      <c r="L40" s="133">
        <f>$K$11*J40*K40</f>
        <v/>
      </c>
    </row>
    <row r="41">
      <c r="B41" s="20">
        <f>H41</f>
        <v/>
      </c>
      <c r="C41" s="127">
        <f>0.5*1.224*$D$4*(B41^3)/1000000</f>
        <v/>
      </c>
      <c r="D41" s="128" t="n">
        <v>5.6</v>
      </c>
      <c r="E41" s="129">
        <f>D41/C41</f>
        <v/>
      </c>
      <c r="F41" s="129" t="n">
        <v>0.0015</v>
      </c>
      <c r="H41" s="20" t="n">
        <v>27.5</v>
      </c>
      <c r="I41" s="130" t="n">
        <v>0.027</v>
      </c>
      <c r="J41" s="131">
        <f>I41*$D41/100*8766</f>
        <v/>
      </c>
      <c r="K41" s="52" t="n">
        <v>1.04</v>
      </c>
      <c r="L41" s="133">
        <f>$K$11*J41*K41</f>
        <v/>
      </c>
    </row>
    <row r="42" ht="13.3" customHeight="1" thickBot="1">
      <c r="B42" s="25">
        <f>H42</f>
        <v/>
      </c>
      <c r="C42" s="134">
        <f>0.5*1.224*$D$4*(B42^3)/1000000</f>
        <v/>
      </c>
      <c r="D42" s="135" t="n">
        <v>0</v>
      </c>
      <c r="E42" s="136">
        <f>D42/C42</f>
        <v/>
      </c>
      <c r="F42" s="136" t="n">
        <v>0</v>
      </c>
      <c r="H42" s="25" t="n">
        <v>28.5</v>
      </c>
      <c r="I42" s="137" t="n">
        <v>0.018</v>
      </c>
      <c r="J42" s="138" t="n">
        <v>0</v>
      </c>
      <c r="K42" s="55" t="n">
        <v>0</v>
      </c>
      <c r="L42" s="133">
        <f>$K$11*J42*K42</f>
        <v/>
      </c>
    </row>
    <row r="43">
      <c r="B43" s="82" t="inlineStr">
        <is>
          <t>*) C_P provided here is assumed to include all WTG aerodynamic, drive train and internal electrical losses.</t>
        </is>
      </c>
      <c r="C43" s="12" t="n"/>
      <c r="D43" s="13" t="n"/>
      <c r="J43" s="139">
        <f>SUM(J14:J42)</f>
        <v/>
      </c>
      <c r="L43" s="139">
        <f>SUM(L17:L42)</f>
        <v/>
      </c>
      <c r="M43" s="2" t="inlineStr">
        <is>
          <t>MWh/year</t>
        </is>
      </c>
    </row>
    <row r="45" ht="13.3" customHeight="1" thickBot="1">
      <c r="J45" s="16" t="inlineStr">
        <is>
          <t>WTG</t>
        </is>
      </c>
      <c r="K45" s="16" t="inlineStr">
        <is>
          <t> </t>
        </is>
      </c>
      <c r="L45" s="16" t="inlineStr">
        <is>
          <t>Park</t>
        </is>
      </c>
    </row>
    <row r="46" ht="13.3" customHeight="1" thickBot="1">
      <c r="I46" s="2" t="inlineStr">
        <is>
          <t>Capacity Factor</t>
        </is>
      </c>
      <c r="J46" s="17">
        <f>J43/20/8760</f>
        <v/>
      </c>
      <c r="L46" s="17">
        <f>L43/20/8760/K11</f>
        <v/>
      </c>
    </row>
  </sheetData>
  <mergeCells count="7">
    <mergeCell ref="B6:C6"/>
    <mergeCell ref="B7:C7"/>
    <mergeCell ref="B3:C3"/>
    <mergeCell ref="B5:C5"/>
    <mergeCell ref="B9:C9"/>
    <mergeCell ref="B8:C8"/>
    <mergeCell ref="B4:C4"/>
  </mergeCells>
  <pageMargins left="0.75" right="0.75" top="1" bottom="1" header="0.5" footer="0.5"/>
  <pageSetup orientation="portrait" paperSize="9" horizontalDpi="4294967292" verticalDpi="429496729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2"/>
  <sheetViews>
    <sheetView topLeftCell="A6" zoomScale="85" zoomScaleNormal="85" zoomScalePageLayoutView="125" workbookViewId="0">
      <selection activeCell="P11" sqref="P11"/>
    </sheetView>
  </sheetViews>
  <sheetFormatPr baseColWidth="8" defaultColWidth="8.84375" defaultRowHeight="12.45"/>
  <cols>
    <col width="29.921875" bestFit="1" customWidth="1" min="2" max="2"/>
    <col width="4.3046875" bestFit="1" customWidth="1" min="3" max="3"/>
    <col width="4.3828125" bestFit="1" customWidth="1" min="4" max="4"/>
    <col width="8.23046875" bestFit="1" customWidth="1" min="5" max="5"/>
    <col width="7.84375" bestFit="1" customWidth="1" min="6" max="8"/>
    <col width="10" bestFit="1" customWidth="1" min="9" max="9"/>
    <col width="6.53515625" customWidth="1" style="28" min="10" max="10"/>
    <col width="10.53515625" bestFit="1" customWidth="1" min="11" max="11"/>
  </cols>
  <sheetData>
    <row r="1" ht="12.9" customHeight="1">
      <c r="B1" s="9" t="n"/>
      <c r="C1" s="9" t="n"/>
      <c r="D1" s="9" t="n"/>
      <c r="E1" s="9" t="n"/>
      <c r="F1" s="9" t="n"/>
      <c r="G1" s="9" t="n"/>
    </row>
    <row r="2" ht="12.9" customHeight="1">
      <c r="B2" s="77" t="inlineStr">
        <is>
          <t>Cable 1</t>
        </is>
      </c>
      <c r="C2" s="77" t="n"/>
      <c r="D2" s="77" t="n"/>
      <c r="E2" s="77" t="inlineStr">
        <is>
          <t>400 mm2</t>
        </is>
      </c>
      <c r="F2" s="77" t="n">
        <v>0.101</v>
      </c>
      <c r="G2" s="77" t="inlineStr">
        <is>
          <t>Ohm/km</t>
        </is>
      </c>
    </row>
    <row r="3" ht="12.9" customHeight="1">
      <c r="B3" s="77" t="inlineStr">
        <is>
          <t>Cable 2</t>
        </is>
      </c>
      <c r="C3" s="77" t="n"/>
      <c r="D3" s="77" t="n"/>
      <c r="E3" s="77" t="inlineStr">
        <is>
          <t>630 mm2</t>
        </is>
      </c>
      <c r="F3" s="77" t="n">
        <v>0.063</v>
      </c>
      <c r="G3" s="77" t="inlineStr">
        <is>
          <t>Ohm/km</t>
        </is>
      </c>
    </row>
    <row r="4" ht="12.9" customHeight="1">
      <c r="B4" s="77" t="inlineStr">
        <is>
          <t>Cable 3</t>
        </is>
      </c>
      <c r="C4" s="77" t="n"/>
      <c r="D4" s="77" t="n"/>
      <c r="E4" s="77" t="inlineStr">
        <is>
          <t>800 mm2</t>
        </is>
      </c>
      <c r="F4" s="77" t="n">
        <v>0.037</v>
      </c>
      <c r="G4" s="77" t="inlineStr">
        <is>
          <t>Ohm/km</t>
        </is>
      </c>
    </row>
    <row r="6" ht="12.9" customHeight="1">
      <c r="B6" s="2" t="n"/>
      <c r="C6" s="2" t="n"/>
      <c r="D6" s="2" t="n"/>
      <c r="E6" s="16" t="n"/>
      <c r="F6" s="16" t="n"/>
      <c r="G6" s="16" t="n"/>
      <c r="H6" s="16" t="n"/>
      <c r="I6" s="16" t="n"/>
      <c r="J6" s="16" t="n"/>
      <c r="K6" s="9" t="n"/>
    </row>
    <row r="7" ht="13.3" customHeight="1" thickBot="1">
      <c r="B7" s="2" t="n"/>
      <c r="C7" s="2" t="n"/>
      <c r="D7" s="2" t="n"/>
      <c r="E7" s="16" t="inlineStr">
        <is>
          <t>WTG 1</t>
        </is>
      </c>
      <c r="F7" s="16" t="inlineStr">
        <is>
          <t>WTG 2</t>
        </is>
      </c>
      <c r="G7" s="16" t="inlineStr">
        <is>
          <t>WTG 3</t>
        </is>
      </c>
      <c r="H7" s="16" t="inlineStr">
        <is>
          <t>WTG 4</t>
        </is>
      </c>
      <c r="J7" s="16" t="n"/>
      <c r="K7" s="56" t="n"/>
    </row>
    <row r="8" ht="12.9" customHeight="1">
      <c r="B8" s="113" t="inlineStr">
        <is>
          <t>WTG Nominal Power [MVA]</t>
        </is>
      </c>
      <c r="C8" s="72" t="n"/>
      <c r="D8" s="72" t="n"/>
      <c r="E8" s="140" t="n">
        <v>21.1</v>
      </c>
      <c r="F8" s="140" t="n">
        <v>21.1</v>
      </c>
      <c r="G8" s="140" t="n">
        <v>21.1</v>
      </c>
      <c r="H8" s="140" t="n">
        <v>21.1</v>
      </c>
      <c r="I8" s="22" t="n"/>
      <c r="J8" s="29" t="n"/>
      <c r="K8" s="4" t="n"/>
    </row>
    <row r="9" ht="12.9" customHeight="1">
      <c r="B9" s="92" t="inlineStr">
        <is>
          <t>IAC Voltage kV</t>
        </is>
      </c>
      <c r="C9" s="70" t="n"/>
      <c r="D9" s="70" t="n"/>
      <c r="E9" s="31" t="n">
        <v>66</v>
      </c>
      <c r="F9" s="112">
        <f>E9</f>
        <v/>
      </c>
      <c r="G9" s="112">
        <f>F9</f>
        <v/>
      </c>
      <c r="H9" s="112">
        <f>G9</f>
        <v/>
      </c>
      <c r="I9" s="23" t="n"/>
      <c r="J9" s="30" t="n"/>
      <c r="K9" s="5" t="n"/>
    </row>
    <row r="10" ht="13.3" customHeight="1" thickBot="1">
      <c r="B10" s="26" t="inlineStr">
        <is>
          <t># WTGs on IAC Section</t>
        </is>
      </c>
      <c r="C10" s="6" t="n"/>
      <c r="D10" s="6" t="n"/>
      <c r="E10" s="23" t="n">
        <v>1</v>
      </c>
      <c r="F10" s="23" t="n">
        <v>2</v>
      </c>
      <c r="G10" s="23" t="n">
        <v>3</v>
      </c>
      <c r="H10" s="23" t="n">
        <v>4</v>
      </c>
      <c r="I10" s="23" t="n"/>
      <c r="J10" s="30" t="n"/>
      <c r="K10" s="5" t="n"/>
    </row>
    <row r="11" ht="12.9" customHeight="1">
      <c r="B11" s="92" t="inlineStr">
        <is>
          <t>Nominal Current [A] on IAC Section</t>
        </is>
      </c>
      <c r="C11" s="27" t="n"/>
      <c r="D11" s="88" t="n"/>
      <c r="E11" s="89">
        <f>E10*E8*1000/(SQRT(3)*E9)</f>
        <v/>
      </c>
      <c r="F11" s="73">
        <f>F10*F8*1000/(SQRT(3)*F9)</f>
        <v/>
      </c>
      <c r="G11" s="73">
        <f>G10*G8*1000/(SQRT(3)*G9)</f>
        <v/>
      </c>
      <c r="H11" s="67">
        <f>H10*H8*1000/(SQRT(3)*H9)</f>
        <v/>
      </c>
      <c r="I11" s="66" t="n"/>
      <c r="J11" s="30" t="n"/>
      <c r="K11" s="5" t="n"/>
    </row>
    <row r="12" ht="12.9" customHeight="1">
      <c r="B12" s="92" t="inlineStr">
        <is>
          <t>IAC Section Cable 1 / 2 / 3</t>
        </is>
      </c>
      <c r="C12" s="27" t="n"/>
      <c r="D12" s="88" t="n"/>
      <c r="E12" s="90" t="n">
        <v>1</v>
      </c>
      <c r="F12" s="84" t="n">
        <v>1</v>
      </c>
      <c r="G12" s="84" t="n">
        <v>2</v>
      </c>
      <c r="H12" s="85" t="n">
        <v>3</v>
      </c>
      <c r="I12" s="66" t="n"/>
      <c r="J12" s="30" t="n"/>
      <c r="K12" s="5" t="n"/>
    </row>
    <row r="13" ht="13.3" customHeight="1" thickBot="1">
      <c r="B13" s="115" t="inlineStr">
        <is>
          <t>Resistance [Ohm/km]</t>
        </is>
      </c>
      <c r="C13" s="74" t="n"/>
      <c r="D13" s="116" t="n"/>
      <c r="E13" s="141">
        <f>INDEX($F$2:$F$4,E12)</f>
        <v/>
      </c>
      <c r="F13" s="142">
        <f>INDEX($F$2:$F$4,F12)</f>
        <v/>
      </c>
      <c r="G13" s="142">
        <f>INDEX($F$2:$F$4,G12)</f>
        <v/>
      </c>
      <c r="H13" s="143">
        <f>INDEX($F$2:$F$4,H12)</f>
        <v/>
      </c>
      <c r="I13" s="117" t="n"/>
      <c r="J13" s="96" t="n"/>
      <c r="K13" s="97" t="n"/>
    </row>
    <row r="14" ht="12.9" customHeight="1">
      <c r="B14" s="21" t="n"/>
      <c r="C14" s="71" t="n"/>
      <c r="D14" s="71" t="n"/>
      <c r="E14" s="102" t="inlineStr">
        <is>
          <t>km</t>
        </is>
      </c>
      <c r="F14" s="102" t="inlineStr">
        <is>
          <t>km</t>
        </is>
      </c>
      <c r="G14" s="102" t="inlineStr">
        <is>
          <t>km</t>
        </is>
      </c>
      <c r="H14" s="102" t="inlineStr">
        <is>
          <t>km</t>
        </is>
      </c>
      <c r="I14" s="23" t="n"/>
      <c r="J14" s="30" t="n"/>
      <c r="K14" s="5" t="n"/>
    </row>
    <row r="15" ht="13.3" customHeight="1" thickBot="1">
      <c r="B15" s="93" t="inlineStr">
        <is>
          <t>String Section Length [km]</t>
        </is>
      </c>
      <c r="C15" s="94" t="n"/>
      <c r="D15" s="94" t="n"/>
      <c r="E15" s="95" t="n">
        <v>2.5</v>
      </c>
      <c r="F15" s="95" t="n">
        <v>2.5</v>
      </c>
      <c r="G15" s="95" t="n">
        <v>2</v>
      </c>
      <c r="H15" s="95" t="n">
        <v>1.5</v>
      </c>
      <c r="I15" s="95" t="n"/>
      <c r="J15" s="96" t="n"/>
      <c r="K15" s="97" t="n"/>
    </row>
    <row r="16" ht="13.3" customHeight="1" thickBot="1">
      <c r="B16" s="99" t="inlineStr">
        <is>
          <t>Free Wind Speed</t>
        </is>
      </c>
      <c r="C16" s="98" t="inlineStr">
        <is>
          <t>Power</t>
        </is>
      </c>
      <c r="D16" s="78" t="n"/>
      <c r="E16" s="29" t="n"/>
      <c r="F16" s="23" t="n"/>
      <c r="G16" s="23" t="n"/>
      <c r="H16" s="23" t="n"/>
      <c r="I16" s="103" t="inlineStr">
        <is>
          <t>P_loss</t>
        </is>
      </c>
      <c r="J16" s="104" t="inlineStr">
        <is>
          <t>hours</t>
        </is>
      </c>
      <c r="K16" s="105" t="inlineStr">
        <is>
          <t>Loss</t>
        </is>
      </c>
      <c r="O16" s="111" t="n"/>
    </row>
    <row r="17" ht="12.9" customHeight="1">
      <c r="B17" s="100" t="inlineStr">
        <is>
          <t>(m/s)</t>
        </is>
      </c>
      <c r="C17" s="101" t="inlineStr">
        <is>
          <t>MW</t>
        </is>
      </c>
      <c r="D17" s="63" t="inlineStr">
        <is>
          <t>MVA</t>
        </is>
      </c>
      <c r="E17" s="61" t="n"/>
      <c r="F17" s="24" t="n"/>
      <c r="G17" s="24" t="n"/>
      <c r="H17" s="24" t="n"/>
      <c r="I17" s="106" t="inlineStr">
        <is>
          <t>[kW]</t>
        </is>
      </c>
      <c r="J17" s="107" t="n"/>
      <c r="K17" s="108" t="inlineStr">
        <is>
          <t>[MWh/year]</t>
        </is>
      </c>
    </row>
    <row r="18" ht="12.9" customHeight="1">
      <c r="B18" s="20" t="n">
        <v>0.5</v>
      </c>
      <c r="C18" s="144">
        <f>'WTG Yield Wake'!D14</f>
        <v/>
      </c>
      <c r="D18" s="145">
        <f>C18/0.95</f>
        <v/>
      </c>
      <c r="E18" s="146" t="n">
        <v>0</v>
      </c>
      <c r="F18" s="147" t="n">
        <v>0</v>
      </c>
      <c r="G18" s="147" t="n">
        <v>0</v>
      </c>
      <c r="H18" s="147" t="n">
        <v>0</v>
      </c>
      <c r="I18" s="148">
        <f>SUM(E18:H18)</f>
        <v/>
      </c>
      <c r="J18" s="149" t="n">
        <v>57</v>
      </c>
      <c r="K18" s="109">
        <f>I18*J18/1000</f>
        <v/>
      </c>
    </row>
    <row r="19" ht="12.9" customHeight="1">
      <c r="B19" s="20" t="n">
        <v>1.5</v>
      </c>
      <c r="C19" s="144">
        <f>'WTG Yield Wake'!D15</f>
        <v/>
      </c>
      <c r="D19" s="145">
        <f>C19/0.95</f>
        <v/>
      </c>
      <c r="E19" s="146" t="n">
        <v>0</v>
      </c>
      <c r="F19" s="147" t="n">
        <v>0</v>
      </c>
      <c r="G19" s="147" t="n">
        <v>0</v>
      </c>
      <c r="H19" s="147" t="n">
        <v>0</v>
      </c>
      <c r="I19" s="148">
        <f>SUM(E19:H19)</f>
        <v/>
      </c>
      <c r="J19" s="149">
        <f>'WTG Yield Wake'!I15*8760/100</f>
        <v/>
      </c>
      <c r="K19" s="109">
        <f>I19*J19/1000</f>
        <v/>
      </c>
    </row>
    <row r="20" ht="12.9" customHeight="1">
      <c r="B20" s="20" t="n">
        <v>2.5</v>
      </c>
      <c r="C20" s="144">
        <f>'WTG Yield Wake'!D16</f>
        <v/>
      </c>
      <c r="D20" s="145">
        <f>C20/0.95</f>
        <v/>
      </c>
      <c r="E20" s="146" t="n">
        <v>0</v>
      </c>
      <c r="F20" s="147" t="n">
        <v>0</v>
      </c>
      <c r="G20" s="147" t="n">
        <v>0</v>
      </c>
      <c r="H20" s="147" t="n">
        <v>0</v>
      </c>
      <c r="I20" s="148">
        <f>SUM(E20:H20)</f>
        <v/>
      </c>
      <c r="J20" s="149">
        <f>'WTG Yield Wake'!I16*8760/100</f>
        <v/>
      </c>
      <c r="K20" s="109">
        <f>I20*J20/1000</f>
        <v/>
      </c>
    </row>
    <row r="21" ht="12.9" customHeight="1">
      <c r="B21" s="20" t="n">
        <v>3.5</v>
      </c>
      <c r="C21" s="144">
        <f>'WTG Yield Wake'!D17</f>
        <v/>
      </c>
      <c r="D21" s="145">
        <f>C21/0.95</f>
        <v/>
      </c>
      <c r="E21" s="146">
        <f>3*($D21/E$8*E$11)^2*E$13*E$15/1000</f>
        <v/>
      </c>
      <c r="F21" s="147">
        <f>3*($D21/F$8*F$11)^2*F$13*F$15/1000</f>
        <v/>
      </c>
      <c r="G21" s="147">
        <f>3*($D21/G$8*G$11)^2*G$13*G$15/1000</f>
        <v/>
      </c>
      <c r="H21" s="147">
        <f>3*($D21/H$8*H$11)^2*H$13*H$15/1000</f>
        <v/>
      </c>
      <c r="I21" s="148">
        <f>SUM(E21:H21)</f>
        <v/>
      </c>
      <c r="J21" s="149">
        <f>'WTG Yield Wake'!I17*8760/100</f>
        <v/>
      </c>
      <c r="K21" s="109">
        <f>I21*J21/1000</f>
        <v/>
      </c>
    </row>
    <row r="22" ht="12.9" customHeight="1">
      <c r="B22" s="20" t="n">
        <v>4.5</v>
      </c>
      <c r="C22" s="144">
        <f>'WTG Yield Wake'!D18</f>
        <v/>
      </c>
      <c r="D22" s="145">
        <f>C22/0.95</f>
        <v/>
      </c>
      <c r="E22" s="146">
        <f>3*($D22/E$8*E$11)^2*E$13*E$15/1000</f>
        <v/>
      </c>
      <c r="F22" s="147">
        <f>3*($D22/F$8*F$11)^2*F$13*F$15/1000</f>
        <v/>
      </c>
      <c r="G22" s="147">
        <f>3*($D22/G$8*G$11)^2*G$13*G$15/1000</f>
        <v/>
      </c>
      <c r="H22" s="147">
        <f>3*($D22/H$8*H$11)^2*H$13*H$15/1000</f>
        <v/>
      </c>
      <c r="I22" s="148">
        <f>SUM(E22:H22)</f>
        <v/>
      </c>
      <c r="J22" s="149">
        <f>'WTG Yield Wake'!I18*8760/100</f>
        <v/>
      </c>
      <c r="K22" s="109">
        <f>I22*J22/1000</f>
        <v/>
      </c>
    </row>
    <row r="23" ht="12.9" customHeight="1">
      <c r="B23" s="20" t="n">
        <v>5.5</v>
      </c>
      <c r="C23" s="144">
        <f>'WTG Yield Wake'!D19</f>
        <v/>
      </c>
      <c r="D23" s="145">
        <f>C23/0.95</f>
        <v/>
      </c>
      <c r="E23" s="146">
        <f>3*($D23/E$8*E$11)^2*E$13*E$15/1000</f>
        <v/>
      </c>
      <c r="F23" s="147">
        <f>3*($D23/F$8*F$11)^2*F$13*F$15/1000</f>
        <v/>
      </c>
      <c r="G23" s="147">
        <f>3*($D23/G$8*G$11)^2*G$13*G$15/1000</f>
        <v/>
      </c>
      <c r="H23" s="147">
        <f>3*($D23/H$8*H$11)^2*H$13*H$15/1000</f>
        <v/>
      </c>
      <c r="I23" s="148">
        <f>SUM(E23:H23)</f>
        <v/>
      </c>
      <c r="J23" s="149">
        <f>'WTG Yield Wake'!I19*8760/100</f>
        <v/>
      </c>
      <c r="K23" s="109">
        <f>I23*J23/1000</f>
        <v/>
      </c>
    </row>
    <row r="24" ht="12.9" customHeight="1">
      <c r="B24" s="20" t="n">
        <v>6.5</v>
      </c>
      <c r="C24" s="144">
        <f>'WTG Yield Wake'!D20</f>
        <v/>
      </c>
      <c r="D24" s="145">
        <f>C24/0.95</f>
        <v/>
      </c>
      <c r="E24" s="146">
        <f>3*($D24/E$8*E$11)^2*E$13*E$15/1000</f>
        <v/>
      </c>
      <c r="F24" s="147">
        <f>3*($D24/F$8*F$11)^2*F$13*F$15/1000</f>
        <v/>
      </c>
      <c r="G24" s="147">
        <f>3*($D24/G$8*G$11)^2*G$13*G$15/1000</f>
        <v/>
      </c>
      <c r="H24" s="147">
        <f>3*($D24/H$8*H$11)^2*H$13*H$15/1000</f>
        <v/>
      </c>
      <c r="I24" s="148">
        <f>SUM(E24:H24)</f>
        <v/>
      </c>
      <c r="J24" s="149">
        <f>'WTG Yield Wake'!I20*8760/100</f>
        <v/>
      </c>
      <c r="K24" s="109">
        <f>I24*J24/1000</f>
        <v/>
      </c>
    </row>
    <row r="25" ht="12.9" customHeight="1">
      <c r="B25" s="20" t="n">
        <v>7.5</v>
      </c>
      <c r="C25" s="144">
        <f>'WTG Yield Wake'!D21</f>
        <v/>
      </c>
      <c r="D25" s="145">
        <f>C25/0.95</f>
        <v/>
      </c>
      <c r="E25" s="146">
        <f>3*($D25/E$8*E$11)^2*E$13*E$15/1000</f>
        <v/>
      </c>
      <c r="F25" s="147">
        <f>3*($D25/F$8*F$11)^2*F$13*F$15/1000</f>
        <v/>
      </c>
      <c r="G25" s="147">
        <f>3*($D25/G$8*G$11)^2*G$13*G$15/1000</f>
        <v/>
      </c>
      <c r="H25" s="147">
        <f>3*($D25/H$8*H$11)^2*H$13*H$15/1000</f>
        <v/>
      </c>
      <c r="I25" s="148">
        <f>SUM(E25:H25)</f>
        <v/>
      </c>
      <c r="J25" s="149">
        <f>'WTG Yield Wake'!I21*8760/100</f>
        <v/>
      </c>
      <c r="K25" s="109">
        <f>I25*J25/1000</f>
        <v/>
      </c>
    </row>
    <row r="26" ht="12.9" customHeight="1">
      <c r="B26" s="20" t="n">
        <v>8.5</v>
      </c>
      <c r="C26" s="144">
        <f>'WTG Yield Wake'!D22</f>
        <v/>
      </c>
      <c r="D26" s="145">
        <f>C26/0.95</f>
        <v/>
      </c>
      <c r="E26" s="146">
        <f>3*($D26/E$8*E$11)^2*E$13*E$15/1000</f>
        <v/>
      </c>
      <c r="F26" s="147">
        <f>3*($D26/F$8*F$11)^2*F$13*F$15/1000</f>
        <v/>
      </c>
      <c r="G26" s="147">
        <f>3*($D26/G$8*G$11)^2*G$13*G$15/1000</f>
        <v/>
      </c>
      <c r="H26" s="147">
        <f>3*($D26/H$8*H$11)^2*H$13*H$15/1000</f>
        <v/>
      </c>
      <c r="I26" s="148">
        <f>SUM(E26:H26)</f>
        <v/>
      </c>
      <c r="J26" s="149">
        <f>'WTG Yield Wake'!I22*8760/100</f>
        <v/>
      </c>
      <c r="K26" s="109">
        <f>I26*J26/1000</f>
        <v/>
      </c>
    </row>
    <row r="27" ht="12.9" customHeight="1">
      <c r="B27" s="20" t="n">
        <v>9.5</v>
      </c>
      <c r="C27" s="144">
        <f>'WTG Yield Wake'!D23</f>
        <v/>
      </c>
      <c r="D27" s="145">
        <f>C27/0.95</f>
        <v/>
      </c>
      <c r="E27" s="146">
        <f>3*($D27/E$8*E$11)^2*E$13*E$15/1000</f>
        <v/>
      </c>
      <c r="F27" s="147">
        <f>3*($D27/F$8*F$11)^2*F$13*F$15/1000</f>
        <v/>
      </c>
      <c r="G27" s="147">
        <f>3*($D27/G$8*G$11)^2*G$13*G$15/1000</f>
        <v/>
      </c>
      <c r="H27" s="147">
        <f>3*($D27/H$8*H$11)^2*H$13*H$15/1000</f>
        <v/>
      </c>
      <c r="I27" s="148">
        <f>SUM(E27:H27)</f>
        <v/>
      </c>
      <c r="J27" s="149">
        <f>'WTG Yield Wake'!I23*8760/100</f>
        <v/>
      </c>
      <c r="K27" s="109">
        <f>I27*J27/1000</f>
        <v/>
      </c>
    </row>
    <row r="28" ht="12.9" customHeight="1">
      <c r="B28" s="20" t="n">
        <v>10.5</v>
      </c>
      <c r="C28" s="144">
        <f>'WTG Yield Wake'!D24</f>
        <v/>
      </c>
      <c r="D28" s="145">
        <f>C28/0.95</f>
        <v/>
      </c>
      <c r="E28" s="146">
        <f>3*($D28/E$8*E$11)^2*E$13*E$15/1000</f>
        <v/>
      </c>
      <c r="F28" s="147">
        <f>3*($D28/F$8*F$11)^2*F$13*F$15/1000</f>
        <v/>
      </c>
      <c r="G28" s="147">
        <f>3*($D28/G$8*G$11)^2*G$13*G$15/1000</f>
        <v/>
      </c>
      <c r="H28" s="147">
        <f>3*($D28/H$8*H$11)^2*H$13*H$15/1000</f>
        <v/>
      </c>
      <c r="I28" s="148">
        <f>SUM(E28:H28)</f>
        <v/>
      </c>
      <c r="J28" s="149">
        <f>'WTG Yield Wake'!I24*8760/100</f>
        <v/>
      </c>
      <c r="K28" s="109">
        <f>I28*J28/1000</f>
        <v/>
      </c>
    </row>
    <row r="29" ht="12.9" customHeight="1">
      <c r="B29" s="20" t="n">
        <v>11.5</v>
      </c>
      <c r="C29" s="144">
        <f>'WTG Yield Wake'!D25</f>
        <v/>
      </c>
      <c r="D29" s="145">
        <f>C29/0.95</f>
        <v/>
      </c>
      <c r="E29" s="146">
        <f>3*($D29/E$8*E$11)^2*E$13*E$15/1000</f>
        <v/>
      </c>
      <c r="F29" s="147">
        <f>3*($D29/F$8*F$11)^2*F$13*F$15/1000</f>
        <v/>
      </c>
      <c r="G29" s="147">
        <f>3*($D29/G$8*G$11)^2*G$13*G$15/1000</f>
        <v/>
      </c>
      <c r="H29" s="147">
        <f>3*($D29/H$8*H$11)^2*H$13*H$15/1000</f>
        <v/>
      </c>
      <c r="I29" s="148">
        <f>SUM(E29:H29)</f>
        <v/>
      </c>
      <c r="J29" s="149">
        <f>'WTG Yield Wake'!I25*8760/100</f>
        <v/>
      </c>
      <c r="K29" s="109">
        <f>I29*J29/1000</f>
        <v/>
      </c>
    </row>
    <row r="30" ht="12.9" customHeight="1">
      <c r="B30" s="20" t="n">
        <v>12.5</v>
      </c>
      <c r="C30" s="144">
        <f>'WTG Yield Wake'!D26</f>
        <v/>
      </c>
      <c r="D30" s="145">
        <f>C30/0.95</f>
        <v/>
      </c>
      <c r="E30" s="146">
        <f>3*($D30/E$8*E$11)^2*E$13*E$15/1000</f>
        <v/>
      </c>
      <c r="F30" s="147">
        <f>3*($D30/F$8*F$11)^2*F$13*F$15/1000</f>
        <v/>
      </c>
      <c r="G30" s="147">
        <f>3*($D30/G$8*G$11)^2*G$13*G$15/1000</f>
        <v/>
      </c>
      <c r="H30" s="147">
        <f>3*($D30/H$8*H$11)^2*H$13*H$15/1000</f>
        <v/>
      </c>
      <c r="I30" s="148">
        <f>SUM(E30:H30)</f>
        <v/>
      </c>
      <c r="J30" s="149">
        <f>'WTG Yield Wake'!I26*8760/100</f>
        <v/>
      </c>
      <c r="K30" s="109">
        <f>I30*J30/1000</f>
        <v/>
      </c>
    </row>
    <row r="31" ht="12.9" customHeight="1">
      <c r="B31" s="20" t="n">
        <v>13.5</v>
      </c>
      <c r="C31" s="144">
        <f>'WTG Yield Wake'!D27</f>
        <v/>
      </c>
      <c r="D31" s="145">
        <f>C31/0.95</f>
        <v/>
      </c>
      <c r="E31" s="146">
        <f>3*($D31/E$8*E$11)^2*E$13*E$15/1000</f>
        <v/>
      </c>
      <c r="F31" s="147">
        <f>3*($D31/F$8*F$11)^2*F$13*F$15/1000</f>
        <v/>
      </c>
      <c r="G31" s="147">
        <f>3*($D31/G$8*G$11)^2*G$13*G$15/1000</f>
        <v/>
      </c>
      <c r="H31" s="147">
        <f>3*($D31/H$8*H$11)^2*H$13*H$15/1000</f>
        <v/>
      </c>
      <c r="I31" s="148">
        <f>SUM(E31:H31)</f>
        <v/>
      </c>
      <c r="J31" s="149">
        <f>'WTG Yield Wake'!I27*8760/100</f>
        <v/>
      </c>
      <c r="K31" s="109">
        <f>I31*J31/1000</f>
        <v/>
      </c>
    </row>
    <row r="32" ht="12.9" customHeight="1">
      <c r="B32" s="20" t="n">
        <v>14.5</v>
      </c>
      <c r="C32" s="144">
        <f>'WTG Yield Wake'!D28</f>
        <v/>
      </c>
      <c r="D32" s="145">
        <f>C32/0.95</f>
        <v/>
      </c>
      <c r="E32" s="146">
        <f>3*($D32/E$8*E$11)^2*E$13*E$15/1000</f>
        <v/>
      </c>
      <c r="F32" s="147">
        <f>3*($D32/F$8*F$11)^2*F$13*F$15/1000</f>
        <v/>
      </c>
      <c r="G32" s="147">
        <f>3*($D32/G$8*G$11)^2*G$13*G$15/1000</f>
        <v/>
      </c>
      <c r="H32" s="147">
        <f>3*($D32/H$8*H$11)^2*H$13*H$15/1000</f>
        <v/>
      </c>
      <c r="I32" s="148">
        <f>SUM(E32:H32)</f>
        <v/>
      </c>
      <c r="J32" s="149">
        <f>'WTG Yield Wake'!I28*8760/100</f>
        <v/>
      </c>
      <c r="K32" s="109">
        <f>I32*J32/1000</f>
        <v/>
      </c>
    </row>
    <row r="33" ht="12.9" customHeight="1">
      <c r="B33" s="20" t="n">
        <v>15.5</v>
      </c>
      <c r="C33" s="144">
        <f>'WTG Yield Wake'!D29</f>
        <v/>
      </c>
      <c r="D33" s="145">
        <f>C33/0.95</f>
        <v/>
      </c>
      <c r="E33" s="146">
        <f>3*($D33/E$8*E$11)^2*E$13*E$15/1000</f>
        <v/>
      </c>
      <c r="F33" s="147">
        <f>3*($D33/F$8*F$11)^2*F$13*F$15/1000</f>
        <v/>
      </c>
      <c r="G33" s="147">
        <f>3*($D33/G$8*G$11)^2*G$13*G$15/1000</f>
        <v/>
      </c>
      <c r="H33" s="147">
        <f>3*($D33/H$8*H$11)^2*H$13*H$15/1000</f>
        <v/>
      </c>
      <c r="I33" s="148">
        <f>SUM(E33:H33)</f>
        <v/>
      </c>
      <c r="J33" s="149">
        <f>'WTG Yield Wake'!I29*8760/100</f>
        <v/>
      </c>
      <c r="K33" s="109">
        <f>I33*J33/1000</f>
        <v/>
      </c>
    </row>
    <row r="34" ht="12.9" customHeight="1">
      <c r="B34" s="20" t="n">
        <v>16.5</v>
      </c>
      <c r="C34" s="144">
        <f>'WTG Yield Wake'!D30</f>
        <v/>
      </c>
      <c r="D34" s="145">
        <f>C34/0.95</f>
        <v/>
      </c>
      <c r="E34" s="146">
        <f>3*($D34/E$8*E$11)^2*E$13*E$15/1000</f>
        <v/>
      </c>
      <c r="F34" s="147">
        <f>3*($D34/F$8*F$11)^2*F$13*F$15/1000</f>
        <v/>
      </c>
      <c r="G34" s="147">
        <f>3*($D34/G$8*G$11)^2*G$13*G$15/1000</f>
        <v/>
      </c>
      <c r="H34" s="147">
        <f>3*($D34/H$8*H$11)^2*H$13*H$15/1000</f>
        <v/>
      </c>
      <c r="I34" s="148">
        <f>SUM(E34:H34)</f>
        <v/>
      </c>
      <c r="J34" s="149">
        <f>'WTG Yield Wake'!I30*8760/100</f>
        <v/>
      </c>
      <c r="K34" s="109">
        <f>I34*J34/1000</f>
        <v/>
      </c>
    </row>
    <row r="35" ht="12.9" customHeight="1">
      <c r="B35" s="20" t="n">
        <v>17.5</v>
      </c>
      <c r="C35" s="144">
        <f>'WTG Yield Wake'!D31</f>
        <v/>
      </c>
      <c r="D35" s="145">
        <f>C35/0.95</f>
        <v/>
      </c>
      <c r="E35" s="146">
        <f>3*($D35/E$8*E$11)^2*E$13*E$15/1000</f>
        <v/>
      </c>
      <c r="F35" s="147">
        <f>3*($D35/F$8*F$11)^2*F$13*F$15/1000</f>
        <v/>
      </c>
      <c r="G35" s="147">
        <f>3*($D35/G$8*G$11)^2*G$13*G$15/1000</f>
        <v/>
      </c>
      <c r="H35" s="147">
        <f>3*($D35/H$8*H$11)^2*H$13*H$15/1000</f>
        <v/>
      </c>
      <c r="I35" s="148">
        <f>SUM(E35:H35)</f>
        <v/>
      </c>
      <c r="J35" s="149">
        <f>'WTG Yield Wake'!I31*8760/100</f>
        <v/>
      </c>
      <c r="K35" s="109">
        <f>I35*J35/1000</f>
        <v/>
      </c>
    </row>
    <row r="36" ht="12.9" customHeight="1">
      <c r="B36" s="20" t="n">
        <v>18.5</v>
      </c>
      <c r="C36" s="144">
        <f>'WTG Yield Wake'!D32</f>
        <v/>
      </c>
      <c r="D36" s="145">
        <f>C36/0.95</f>
        <v/>
      </c>
      <c r="E36" s="146">
        <f>3*($D36/E$8*E$11)^2*E$13*E$15/1000</f>
        <v/>
      </c>
      <c r="F36" s="147">
        <f>3*($D36/F$8*F$11)^2*F$13*F$15/1000</f>
        <v/>
      </c>
      <c r="G36" s="147">
        <f>3*($D36/G$8*G$11)^2*G$13*G$15/1000</f>
        <v/>
      </c>
      <c r="H36" s="147">
        <f>3*($D36/H$8*H$11)^2*H$13*H$15/1000</f>
        <v/>
      </c>
      <c r="I36" s="148">
        <f>SUM(E36:H36)</f>
        <v/>
      </c>
      <c r="J36" s="149">
        <f>'WTG Yield Wake'!I32*8760/100</f>
        <v/>
      </c>
      <c r="K36" s="109">
        <f>I36*J36/1000</f>
        <v/>
      </c>
    </row>
    <row r="37" ht="12.9" customHeight="1">
      <c r="B37" s="20" t="n">
        <v>19.5</v>
      </c>
      <c r="C37" s="144">
        <f>'WTG Yield Wake'!D33</f>
        <v/>
      </c>
      <c r="D37" s="145">
        <f>C37/0.95</f>
        <v/>
      </c>
      <c r="E37" s="146">
        <f>3*($D37/E$8*E$11)^2*E$13*E$15/1000</f>
        <v/>
      </c>
      <c r="F37" s="147">
        <f>3*($D37/F$8*F$11)^2*F$13*F$15/1000</f>
        <v/>
      </c>
      <c r="G37" s="147">
        <f>3*($D37/G$8*G$11)^2*G$13*G$15/1000</f>
        <v/>
      </c>
      <c r="H37" s="147">
        <f>3*($D37/H$8*H$11)^2*H$13*H$15/1000</f>
        <v/>
      </c>
      <c r="I37" s="148">
        <f>SUM(E37:H37)</f>
        <v/>
      </c>
      <c r="J37" s="149">
        <f>'WTG Yield Wake'!I33*8760/100</f>
        <v/>
      </c>
      <c r="K37" s="109">
        <f>I37*J37/1000</f>
        <v/>
      </c>
    </row>
    <row r="38" ht="12.9" customHeight="1">
      <c r="B38" s="20" t="n">
        <v>20.5</v>
      </c>
      <c r="C38" s="144">
        <f>'WTG Yield Wake'!D34</f>
        <v/>
      </c>
      <c r="D38" s="145">
        <f>C38/0.95</f>
        <v/>
      </c>
      <c r="E38" s="146">
        <f>3*($D38/E$8*E$11)^2*E$13*E$15/1000</f>
        <v/>
      </c>
      <c r="F38" s="147">
        <f>3*($D38/F$8*F$11)^2*F$13*F$15/1000</f>
        <v/>
      </c>
      <c r="G38" s="147">
        <f>3*($D38/G$8*G$11)^2*G$13*G$15/1000</f>
        <v/>
      </c>
      <c r="H38" s="147">
        <f>3*($D38/H$8*H$11)^2*H$13*H$15/1000</f>
        <v/>
      </c>
      <c r="I38" s="148">
        <f>SUM(E38:H38)</f>
        <v/>
      </c>
      <c r="J38" s="149">
        <f>'WTG Yield Wake'!I34*8760/100</f>
        <v/>
      </c>
      <c r="K38" s="109">
        <f>I38*J38/1000</f>
        <v/>
      </c>
    </row>
    <row r="39" ht="12.9" customHeight="1">
      <c r="B39" s="20" t="n">
        <v>21.5</v>
      </c>
      <c r="C39" s="144">
        <f>'WTG Yield Wake'!D35</f>
        <v/>
      </c>
      <c r="D39" s="145">
        <f>C39/0.95</f>
        <v/>
      </c>
      <c r="E39" s="146">
        <f>3*($D39/E$8*E$11)^2*E$13*E$15/1000</f>
        <v/>
      </c>
      <c r="F39" s="147">
        <f>3*($D39/F$8*F$11)^2*F$13*F$15/1000</f>
        <v/>
      </c>
      <c r="G39" s="147">
        <f>3*($D39/G$8*G$11)^2*G$13*G$15/1000</f>
        <v/>
      </c>
      <c r="H39" s="147">
        <f>3*($D39/H$8*H$11)^2*H$13*H$15/1000</f>
        <v/>
      </c>
      <c r="I39" s="148">
        <f>SUM(E39:H39)</f>
        <v/>
      </c>
      <c r="J39" s="149">
        <f>'WTG Yield Wake'!I35*8760/100</f>
        <v/>
      </c>
      <c r="K39" s="109">
        <f>I39*J39/1000</f>
        <v/>
      </c>
    </row>
    <row r="40" ht="12.9" customHeight="1">
      <c r="B40" s="20" t="n">
        <v>22.5</v>
      </c>
      <c r="C40" s="144">
        <f>'WTG Yield Wake'!D36</f>
        <v/>
      </c>
      <c r="D40" s="145">
        <f>C40/0.95</f>
        <v/>
      </c>
      <c r="E40" s="146">
        <f>3*($D40/E$8*E$11)^2*E$13*E$15/1000</f>
        <v/>
      </c>
      <c r="F40" s="147">
        <f>3*($D40/F$8*F$11)^2*F$13*F$15/1000</f>
        <v/>
      </c>
      <c r="G40" s="147">
        <f>3*($D40/G$8*G$11)^2*G$13*G$15/1000</f>
        <v/>
      </c>
      <c r="H40" s="147">
        <f>3*($D40/H$8*H$11)^2*H$13*H$15/1000</f>
        <v/>
      </c>
      <c r="I40" s="148">
        <f>SUM(E40:H40)</f>
        <v/>
      </c>
      <c r="J40" s="149">
        <f>'WTG Yield Wake'!I36*8760/100</f>
        <v/>
      </c>
      <c r="K40" s="109">
        <f>I40*J40/1000</f>
        <v/>
      </c>
    </row>
    <row r="41" ht="12.9" customHeight="1">
      <c r="B41" s="20" t="n">
        <v>23.5</v>
      </c>
      <c r="C41" s="144">
        <f>'WTG Yield Wake'!D37</f>
        <v/>
      </c>
      <c r="D41" s="145">
        <f>C41/0.95</f>
        <v/>
      </c>
      <c r="E41" s="146">
        <f>3*($D41/E$8*E$11)^2*E$13*E$15/1000</f>
        <v/>
      </c>
      <c r="F41" s="147">
        <f>3*($D41/F$8*F$11)^2*F$13*F$15/1000</f>
        <v/>
      </c>
      <c r="G41" s="147">
        <f>3*($D41/G$8*G$11)^2*G$13*G$15/1000</f>
        <v/>
      </c>
      <c r="H41" s="147">
        <f>3*($D41/H$8*H$11)^2*H$13*H$15/1000</f>
        <v/>
      </c>
      <c r="I41" s="148">
        <f>SUM(E41:H41)</f>
        <v/>
      </c>
      <c r="J41" s="149">
        <f>'WTG Yield Wake'!I37*8760/100</f>
        <v/>
      </c>
      <c r="K41" s="109">
        <f>I41*J41/1000</f>
        <v/>
      </c>
    </row>
    <row r="42" ht="12.9" customHeight="1">
      <c r="B42" s="20" t="n">
        <v>24.5</v>
      </c>
      <c r="C42" s="144">
        <f>'WTG Yield Wake'!D38</f>
        <v/>
      </c>
      <c r="D42" s="145">
        <f>C42/0.95</f>
        <v/>
      </c>
      <c r="E42" s="146">
        <f>3*($D42/E$8*E$11)^2*E$13*E$15/1000</f>
        <v/>
      </c>
      <c r="F42" s="147">
        <f>3*($D42/F$8*F$11)^2*F$13*F$15/1000</f>
        <v/>
      </c>
      <c r="G42" s="147">
        <f>3*($D42/G$8*G$11)^2*G$13*G$15/1000</f>
        <v/>
      </c>
      <c r="H42" s="147">
        <f>3*($D42/H$8*H$11)^2*H$13*H$15/1000</f>
        <v/>
      </c>
      <c r="I42" s="148">
        <f>SUM(E42:H42)</f>
        <v/>
      </c>
      <c r="J42" s="149">
        <f>'WTG Yield Wake'!I38*8760/100</f>
        <v/>
      </c>
      <c r="K42" s="109">
        <f>I42*J42/1000</f>
        <v/>
      </c>
    </row>
    <row r="43" ht="12.9" customHeight="1">
      <c r="B43" s="20" t="n">
        <v>25.5</v>
      </c>
      <c r="C43" s="144">
        <f>'WTG Yield Wake'!D39</f>
        <v/>
      </c>
      <c r="D43" s="145">
        <f>C43/0.95</f>
        <v/>
      </c>
      <c r="E43" s="146">
        <f>3*($D43/E$8*E$11)^2*E$13*E$15/1000</f>
        <v/>
      </c>
      <c r="F43" s="147">
        <f>3*($D43/F$8*F$11)^2*F$13*F$15/1000</f>
        <v/>
      </c>
      <c r="G43" s="147">
        <f>3*($D43/G$8*G$11)^2*G$13*G$15/1000</f>
        <v/>
      </c>
      <c r="H43" s="147">
        <f>3*($D43/H$8*H$11)^2*H$13*H$15/1000</f>
        <v/>
      </c>
      <c r="I43" s="148">
        <f>SUM(E43:H43)</f>
        <v/>
      </c>
      <c r="J43" s="149">
        <f>'WTG Yield Wake'!I39*8760/100</f>
        <v/>
      </c>
      <c r="K43" s="109">
        <f>I43*J43/1000</f>
        <v/>
      </c>
    </row>
    <row r="44" ht="12.9" customHeight="1">
      <c r="B44" s="20" t="n">
        <v>26.5</v>
      </c>
      <c r="C44" s="144">
        <f>'WTG Yield Wake'!D40</f>
        <v/>
      </c>
      <c r="D44" s="145">
        <f>C44/0.95</f>
        <v/>
      </c>
      <c r="E44" s="146">
        <f>3*($D44/E$8*E$11)^2*E$13*E$15/1000</f>
        <v/>
      </c>
      <c r="F44" s="147">
        <f>3*($D44/F$8*F$11)^2*F$13*F$15/1000</f>
        <v/>
      </c>
      <c r="G44" s="147">
        <f>3*($D44/G$8*G$11)^2*G$13*G$15/1000</f>
        <v/>
      </c>
      <c r="H44" s="147">
        <f>3*($D44/H$8*H$11)^2*H$13*H$15/1000</f>
        <v/>
      </c>
      <c r="I44" s="148">
        <f>SUM(E44:H44)</f>
        <v/>
      </c>
      <c r="J44" s="149">
        <f>'WTG Yield Wake'!I40*8760/100</f>
        <v/>
      </c>
      <c r="K44" s="109">
        <f>I44*J44/1000</f>
        <v/>
      </c>
    </row>
    <row r="45" ht="12.9" customHeight="1">
      <c r="B45" s="20" t="n">
        <v>27.5</v>
      </c>
      <c r="C45" s="144">
        <f>'WTG Yield Wake'!D41</f>
        <v/>
      </c>
      <c r="D45" s="145">
        <f>C45/0.95</f>
        <v/>
      </c>
      <c r="E45" s="146">
        <f>3*($D45/E$8*E$11)^2*E$13*E$15/1000</f>
        <v/>
      </c>
      <c r="F45" s="147">
        <f>3*($D45/F$8*F$11)^2*F$13*F$15/1000</f>
        <v/>
      </c>
      <c r="G45" s="147">
        <f>3*($D45/G$8*G$11)^2*G$13*G$15/1000</f>
        <v/>
      </c>
      <c r="H45" s="147">
        <f>3*($D45/H$8*H$11)^2*H$13*H$15/1000</f>
        <v/>
      </c>
      <c r="I45" s="148">
        <f>SUM(E45:H45)</f>
        <v/>
      </c>
      <c r="J45" s="149">
        <f>'WTG Yield Wake'!I41*8760/100</f>
        <v/>
      </c>
      <c r="K45" s="109">
        <f>I45*J45/1000</f>
        <v/>
      </c>
    </row>
    <row r="46" ht="13.3" customHeight="1" thickBot="1">
      <c r="B46" s="25" t="n">
        <v>28.5</v>
      </c>
      <c r="C46" s="150">
        <f>'WTG Yield Wake'!D42</f>
        <v/>
      </c>
      <c r="D46" s="151">
        <f>C46/0.95</f>
        <v/>
      </c>
      <c r="E46" s="152">
        <f>3*($D46/E$8*E$11)^2*E$13*E$15/1000</f>
        <v/>
      </c>
      <c r="F46" s="153">
        <f>3*($D46/F$8*F$11)^2*F$13*F$15/1000</f>
        <v/>
      </c>
      <c r="G46" s="153">
        <f>3*($D46/G$8*G$11)^2*G$13*G$15/1000</f>
        <v/>
      </c>
      <c r="H46" s="153">
        <f>3*($D46/H$8*H$11)^2*H$13*H$15/1000</f>
        <v/>
      </c>
      <c r="I46" s="137">
        <f>SUM(E46:H46)</f>
        <v/>
      </c>
      <c r="J46" s="37" t="n">
        <v>1</v>
      </c>
      <c r="K46" s="110">
        <f>I46*J46/1000</f>
        <v/>
      </c>
    </row>
    <row r="47" ht="12.9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154">
        <f>SUM(J18:J46)</f>
        <v/>
      </c>
      <c r="K47" s="78" t="n"/>
      <c r="L47" s="3" t="inlineStr">
        <is>
          <t>h/year</t>
        </is>
      </c>
    </row>
    <row r="48" ht="13.3" customHeight="1" thickBot="1">
      <c r="A48" s="9" t="n"/>
      <c r="B48" s="3" t="inlineStr">
        <is>
          <t>IAC String Losses (MWh/year)</t>
        </is>
      </c>
      <c r="C48" s="3" t="n"/>
      <c r="D48" s="3" t="n"/>
      <c r="E48" s="3" t="n"/>
      <c r="F48" s="3" t="n"/>
      <c r="G48" s="3" t="n"/>
      <c r="H48" s="3" t="n"/>
      <c r="I48" s="3" t="n"/>
      <c r="J48" s="79" t="n"/>
      <c r="K48" s="80">
        <f>SUM(K18:K47)</f>
        <v/>
      </c>
      <c r="L48" s="3" t="inlineStr">
        <is>
          <t>MWh/year</t>
        </is>
      </c>
      <c r="M48" s="1" t="n"/>
    </row>
    <row r="49" ht="12.9" customHeight="1">
      <c r="A49" s="9" t="n"/>
      <c r="B49" s="3" t="inlineStr">
        <is>
          <t>WTG Energy Yield (MWh/year)</t>
        </is>
      </c>
      <c r="C49" s="3" t="n"/>
      <c r="D49" s="3" t="n"/>
      <c r="E49" s="3" t="n"/>
      <c r="F49" s="3" t="n"/>
      <c r="G49" s="3" t="n"/>
      <c r="H49" s="3" t="n"/>
      <c r="I49" s="3" t="n"/>
      <c r="J49" s="79" t="n"/>
      <c r="K49" s="86">
        <f>MAX(E10:H10)*SUMPRODUCT(C18:C46,J18:J46)</f>
        <v/>
      </c>
      <c r="L49" s="3" t="inlineStr">
        <is>
          <t>MWh/year</t>
        </is>
      </c>
      <c r="M49" s="1" t="n"/>
    </row>
    <row r="50" ht="13.3" customHeight="1" thickBot="1">
      <c r="A50" s="9" t="n"/>
      <c r="B50" s="3" t="inlineStr">
        <is>
          <t>Losses (% WTG Energy Yield/year)</t>
        </is>
      </c>
      <c r="C50" s="3" t="n"/>
      <c r="D50" s="3" t="n"/>
      <c r="E50" s="3" t="n"/>
      <c r="F50" s="3" t="n"/>
      <c r="G50" s="3" t="n"/>
      <c r="H50" s="3" t="n"/>
      <c r="I50" s="3" t="n"/>
      <c r="J50" s="79" t="n"/>
      <c r="K50" s="155">
        <f>K48/K49</f>
        <v/>
      </c>
      <c r="L50" s="3" t="inlineStr">
        <is>
          <t>/year</t>
        </is>
      </c>
    </row>
    <row r="51">
      <c r="J51" s="33" t="n"/>
    </row>
    <row r="52">
      <c r="B52" t="inlineStr">
        <is>
          <t>Yellow cells completed by notebook part2_iac_losses.ipynb (cos phi = 0.95, cheapest cable per section)</t>
        </is>
      </c>
    </row>
  </sheetData>
  <pageMargins left="0.75" right="0.75" top="1" bottom="1" header="0.5" footer="0.5"/>
  <pageSetup orientation="portrait" paperSize="9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Madeleine Gibescu</dc:creator>
  <dcterms:created xsi:type="dcterms:W3CDTF">2006-12-21T22:03:18Z</dcterms:created>
  <dcterms:modified xsi:type="dcterms:W3CDTF">2026-10-07T12:26:01Z</dcterms:modified>
  <cp:lastModifiedBy>Bart Ummels</cp:lastModifiedBy>
</cp:coreProperties>
</file>